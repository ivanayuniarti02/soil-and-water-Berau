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 Tambang Kaltim 2026\data perjalanan 1 (agustus 2026)\"/>
    </mc:Choice>
  </mc:AlternateContent>
  <xr:revisionPtr revIDLastSave="0" documentId="13_ncr:1_{1FC35728-195A-4F00-BC6A-9AFD26AF26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mpel_air" sheetId="1" r:id="rId1"/>
    <sheet name="turbidity" sheetId="2" r:id="rId2"/>
    <sheet name="ML turbidity" sheetId="3" r:id="rId3"/>
    <sheet name="pH" sheetId="4" r:id="rId4"/>
    <sheet name="ML  p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E6" i="4"/>
  <c r="E3" i="4"/>
  <c r="E2" i="4"/>
  <c r="N16" i="2"/>
  <c r="K11" i="1"/>
  <c r="C19" i="4"/>
  <c r="J6" i="4" s="1"/>
  <c r="H18" i="2"/>
  <c r="H17" i="2"/>
  <c r="H16" i="2"/>
  <c r="G18" i="2"/>
  <c r="G17" i="2"/>
  <c r="G16" i="2"/>
  <c r="G15" i="2"/>
  <c r="H15" i="2"/>
  <c r="C22" i="2"/>
  <c r="C6" i="2"/>
  <c r="C3" i="2"/>
  <c r="C2" i="2"/>
  <c r="N6" i="2"/>
  <c r="J5" i="4"/>
  <c r="J4" i="4"/>
  <c r="I7" i="4"/>
  <c r="I6" i="4"/>
  <c r="I5" i="4"/>
  <c r="I4" i="4"/>
  <c r="I2" i="4"/>
  <c r="I3" i="4"/>
  <c r="C36" i="4"/>
  <c r="C16" i="4"/>
  <c r="C15" i="4"/>
  <c r="C13" i="4"/>
  <c r="C28" i="4"/>
  <c r="C11" i="4"/>
  <c r="C10" i="4"/>
  <c r="C25" i="4"/>
  <c r="J7" i="4" s="1"/>
  <c r="C24" i="4"/>
  <c r="C8" i="4"/>
  <c r="C21" i="4"/>
  <c r="C20" i="4"/>
  <c r="C6" i="4"/>
  <c r="C3" i="4"/>
  <c r="C2" i="4"/>
  <c r="K12" i="1"/>
  <c r="K23" i="1"/>
  <c r="K19" i="1"/>
  <c r="K10" i="1"/>
  <c r="K25" i="1"/>
  <c r="K5" i="1"/>
  <c r="K29" i="1"/>
  <c r="K31" i="1"/>
  <c r="K32" i="1"/>
  <c r="K17" i="1"/>
  <c r="K18" i="1"/>
  <c r="K38" i="1"/>
  <c r="K24" i="1"/>
  <c r="K13" i="1"/>
  <c r="K6" i="1"/>
  <c r="M18" i="3"/>
  <c r="L9" i="3"/>
  <c r="L8" i="3"/>
  <c r="C42" i="3"/>
  <c r="C43" i="3"/>
  <c r="C30" i="3"/>
  <c r="C31" i="3"/>
  <c r="C6" i="3"/>
  <c r="C7" i="3"/>
  <c r="C3" i="3"/>
  <c r="C4" i="3"/>
  <c r="C41" i="3"/>
  <c r="C29" i="3"/>
  <c r="C5" i="3"/>
  <c r="C2" i="3"/>
  <c r="J14" i="1"/>
  <c r="R14" i="1"/>
  <c r="Q14" i="1"/>
  <c r="P14" i="1"/>
  <c r="O14" i="1"/>
  <c r="N14" i="1"/>
  <c r="M14" i="1"/>
  <c r="L14" i="1"/>
  <c r="Q10" i="1"/>
  <c r="P10" i="1"/>
  <c r="O10" i="1"/>
  <c r="N10" i="1"/>
  <c r="M10" i="1"/>
  <c r="L10" i="1"/>
  <c r="P5" i="1" l="1"/>
  <c r="O5" i="1"/>
  <c r="N5" i="1"/>
  <c r="N6" i="1"/>
</calcChain>
</file>

<file path=xl/sharedStrings.xml><?xml version="1.0" encoding="utf-8"?>
<sst xmlns="http://schemas.openxmlformats.org/spreadsheetml/2006/main" count="508" uniqueCount="159">
  <si>
    <t>Data Sampel Lapangan Air</t>
  </si>
  <si>
    <t>No.</t>
  </si>
  <si>
    <t>ID Sampel</t>
  </si>
  <si>
    <t>Kode Sampel</t>
  </si>
  <si>
    <t>X</t>
  </si>
  <si>
    <t>Y</t>
  </si>
  <si>
    <t>Tipe sampel</t>
  </si>
  <si>
    <t>keterangan lokasi</t>
  </si>
  <si>
    <t>Land Use/Land Cover</t>
  </si>
  <si>
    <t>Jarak dengan tambang (m)</t>
  </si>
  <si>
    <t>Suhu</t>
  </si>
  <si>
    <t>pH</t>
  </si>
  <si>
    <t>ORP</t>
  </si>
  <si>
    <t>Conductivity</t>
  </si>
  <si>
    <t>Turbidity</t>
  </si>
  <si>
    <t>DO</t>
  </si>
  <si>
    <t>Saturasi</t>
  </si>
  <si>
    <t>TDS</t>
  </si>
  <si>
    <t>Salinitas</t>
  </si>
  <si>
    <t>SA Kolong Berau Coal</t>
  </si>
  <si>
    <t>SA17</t>
  </si>
  <si>
    <t>air</t>
  </si>
  <si>
    <t>tambang</t>
  </si>
  <si>
    <t>SA15</t>
  </si>
  <si>
    <t>SA29</t>
  </si>
  <si>
    <t>SA25</t>
  </si>
  <si>
    <t>Keramba</t>
  </si>
  <si>
    <t>SA12</t>
  </si>
  <si>
    <t>SA7</t>
  </si>
  <si>
    <t>SA14</t>
  </si>
  <si>
    <t>disposal bekas tambang</t>
  </si>
  <si>
    <t>SA1</t>
  </si>
  <si>
    <t>bukan tambang</t>
  </si>
  <si>
    <t>permukiman</t>
  </si>
  <si>
    <t>SA2</t>
  </si>
  <si>
    <t>SA4</t>
  </si>
  <si>
    <t>SA8</t>
  </si>
  <si>
    <t>SA6</t>
  </si>
  <si>
    <t>SA10</t>
  </si>
  <si>
    <t>SA16</t>
  </si>
  <si>
    <t>PT BJU</t>
  </si>
  <si>
    <t>Port PT Berau</t>
  </si>
  <si>
    <t>SA5</t>
  </si>
  <si>
    <t>SA22</t>
  </si>
  <si>
    <t>SA13</t>
  </si>
  <si>
    <t>SA24</t>
  </si>
  <si>
    <t>SA19</t>
  </si>
  <si>
    <t>SA30</t>
  </si>
  <si>
    <t>jembatan babanir</t>
  </si>
  <si>
    <t>SA21</t>
  </si>
  <si>
    <t>SA33</t>
  </si>
  <si>
    <t>saluran output bendungan</t>
  </si>
  <si>
    <t>SA Bendungan</t>
  </si>
  <si>
    <t>SA32</t>
  </si>
  <si>
    <t>bendungan</t>
  </si>
  <si>
    <t>SA Tambang</t>
  </si>
  <si>
    <t>SA31</t>
  </si>
  <si>
    <t>bekas coal getting tambang aktif</t>
  </si>
  <si>
    <t>SA Sumur</t>
  </si>
  <si>
    <t>kebun sawit</t>
  </si>
  <si>
    <t>SA3</t>
  </si>
  <si>
    <t>kebun campuran</t>
  </si>
  <si>
    <t>SA Hulu Segah</t>
  </si>
  <si>
    <t>SA11</t>
  </si>
  <si>
    <t>SA Sumur_1 Bena Baru</t>
  </si>
  <si>
    <t>SA9</t>
  </si>
  <si>
    <t>SA ex_tambang Bena Baru</t>
  </si>
  <si>
    <t>bekas tambang</t>
  </si>
  <si>
    <t>SA20</t>
  </si>
  <si>
    <t>SA35</t>
  </si>
  <si>
    <t>SA18</t>
  </si>
  <si>
    <t>SA37</t>
  </si>
  <si>
    <t>SA23</t>
  </si>
  <si>
    <t>SA36</t>
  </si>
  <si>
    <t>SA Lati</t>
  </si>
  <si>
    <t>SA34</t>
  </si>
  <si>
    <t xml:space="preserve">jembatan </t>
  </si>
  <si>
    <t>Setling pond Berau Coal</t>
  </si>
  <si>
    <t>Parit kecil di jalan padat karya</t>
  </si>
  <si>
    <t>Tambang ilegal non aktif padat karya</t>
  </si>
  <si>
    <t>kolong birang</t>
  </si>
  <si>
    <t>SA28</t>
  </si>
  <si>
    <t>Kolong Sambarata</t>
  </si>
  <si>
    <t>Sungai tengah kota</t>
  </si>
  <si>
    <t>ga bisa diakses</t>
    <phoneticPr fontId="2"/>
  </si>
  <si>
    <t xml:space="preserve">ini yg hari pertama mba? Kalau iya sama dengan no.1 </t>
    <phoneticPr fontId="2"/>
  </si>
  <si>
    <t>dari Pak Trisur</t>
    <phoneticPr fontId="2"/>
  </si>
  <si>
    <t>kemungkinan sama dg no.32</t>
    <phoneticPr fontId="2"/>
  </si>
  <si>
    <t>Site status</t>
  </si>
  <si>
    <t>Mining</t>
  </si>
  <si>
    <t>Non-mining</t>
  </si>
  <si>
    <t>Soil</t>
  </si>
  <si>
    <t>Water</t>
  </si>
  <si>
    <t>Number of sites</t>
  </si>
  <si>
    <t>pH range</t>
  </si>
  <si>
    <t>4.5-6.9</t>
  </si>
  <si>
    <t>4.5-7</t>
  </si>
  <si>
    <t>Average pH</t>
  </si>
  <si>
    <t>5.11+/-0.81</t>
  </si>
  <si>
    <t>6.2+/-1.01</t>
  </si>
  <si>
    <t>EC 1:1 range</t>
  </si>
  <si>
    <t>0.042-5.81</t>
  </si>
  <si>
    <t>0-0.6</t>
  </si>
  <si>
    <t>Average EC 1:1</t>
  </si>
  <si>
    <t>1..4+-0.98</t>
  </si>
  <si>
    <t>0.18+-0.17</t>
  </si>
  <si>
    <t>Turbidity range</t>
  </si>
  <si>
    <t>Average turbidity</t>
  </si>
  <si>
    <t>TSS tange</t>
  </si>
  <si>
    <t>Average TSS</t>
  </si>
  <si>
    <t>34-556</t>
  </si>
  <si>
    <t>243.36+-170.36</t>
  </si>
  <si>
    <t>0-334</t>
  </si>
  <si>
    <t>86.62+-91.05</t>
  </si>
  <si>
    <t>Location</t>
  </si>
  <si>
    <t>Repetition</t>
  </si>
  <si>
    <t>Mining activities</t>
  </si>
  <si>
    <t>Sample type</t>
  </si>
  <si>
    <t xml:space="preserve">Response variable </t>
  </si>
  <si>
    <t>Model No.</t>
  </si>
  <si>
    <t>Mixed-effects model</t>
  </si>
  <si>
    <t>Random effects parameter</t>
  </si>
  <si>
    <t>df</t>
  </si>
  <si>
    <t>AIC</t>
  </si>
  <si>
    <t>LL</t>
  </si>
  <si>
    <r>
      <t>LRT</t>
    </r>
    <r>
      <rPr>
        <vertAlign val="superscript"/>
        <sz val="11"/>
        <color rgb="FF000000"/>
        <rFont val="Aptos Narrow"/>
        <family val="2"/>
      </rPr>
      <t>1</t>
    </r>
  </si>
  <si>
    <r>
      <t>LRT</t>
    </r>
    <r>
      <rPr>
        <vertAlign val="superscript"/>
        <sz val="11"/>
        <color rgb="FF000000"/>
        <rFont val="Aptos Narrow"/>
        <family val="2"/>
      </rPr>
      <t>2</t>
    </r>
  </si>
  <si>
    <t xml:space="preserve">Soil </t>
  </si>
  <si>
    <t xml:space="preserve">Mining-non mining status </t>
  </si>
  <si>
    <t>67.335*</t>
  </si>
  <si>
    <t>p=0.0001*</t>
  </si>
  <si>
    <t>p=1.000</t>
  </si>
  <si>
    <t>Mining-non mining status + location</t>
  </si>
  <si>
    <t>Replication</t>
  </si>
  <si>
    <t>p=1.0000</t>
  </si>
  <si>
    <t>Null model</t>
  </si>
  <si>
    <t>-</t>
  </si>
  <si>
    <t>EC1:1</t>
  </si>
  <si>
    <t>-2491.516*</t>
  </si>
  <si>
    <t>p=0.0012*</t>
  </si>
  <si>
    <t>TSS</t>
  </si>
  <si>
    <t>6.2 ± 1.01</t>
  </si>
  <si>
    <r>
      <t>EC</t>
    </r>
    <r>
      <rPr>
        <vertAlign val="subscript"/>
        <sz val="11"/>
        <color rgb="FF000000"/>
        <rFont val="Aptos Narrow"/>
        <family val="2"/>
      </rPr>
      <t xml:space="preserve">1:1 </t>
    </r>
    <r>
      <rPr>
        <sz val="11"/>
        <color rgb="FF000000"/>
        <rFont val="Aptos Narrow"/>
        <family val="2"/>
      </rPr>
      <t>range</t>
    </r>
  </si>
  <si>
    <t> -</t>
  </si>
  <si>
    <t>- </t>
  </si>
  <si>
    <r>
      <t>Average EC</t>
    </r>
    <r>
      <rPr>
        <vertAlign val="subscript"/>
        <sz val="11"/>
        <color rgb="FF000000"/>
        <rFont val="Aptos Narrow"/>
        <family val="2"/>
      </rPr>
      <t>1:1</t>
    </r>
  </si>
  <si>
    <t>1.4±0.98</t>
  </si>
  <si>
    <t>0.18±0.17</t>
  </si>
  <si>
    <t>TSS range</t>
  </si>
  <si>
    <t>Mining status</t>
  </si>
  <si>
    <t>Parit sambarata</t>
  </si>
  <si>
    <t>5.36-9.45</t>
  </si>
  <si>
    <t>6.49± 1.10</t>
  </si>
  <si>
    <t>1.76-7.58</t>
  </si>
  <si>
    <t>1.16-556</t>
  </si>
  <si>
    <r>
      <t>160.53</t>
    </r>
    <r>
      <rPr>
        <sz val="11"/>
        <color rgb="FF000000"/>
        <rFont val="Aptos Narrow"/>
        <family val="2"/>
      </rPr>
      <t>±136</t>
    </r>
    <r>
      <rPr>
        <sz val="11"/>
        <color rgb="FF000000"/>
        <rFont val="Calibri"/>
        <family val="2"/>
      </rPr>
      <t>.58</t>
    </r>
  </si>
  <si>
    <t>5.50 ± 1.62</t>
  </si>
  <si>
    <t>p= 0.0061</t>
  </si>
  <si>
    <r>
      <t>85.81</t>
    </r>
    <r>
      <rPr>
        <sz val="11"/>
        <color rgb="FF000000"/>
        <rFont val="Aptos Narrow"/>
        <family val="2"/>
      </rPr>
      <t>±150.12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</si>
</sst>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</font>
    <font>
      <vertAlign val="subscript"/>
      <sz val="11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0" xfId="0" applyNumberFormat="1"/>
    <xf numFmtId="164" fontId="0" fillId="0" borderId="0" xfId="0" applyNumberFormat="1"/>
    <xf numFmtId="2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2" fontId="0" fillId="0" borderId="0" xfId="0" applyNumberFormat="1"/>
    <xf numFmtId="2" fontId="0" fillId="4" borderId="1" xfId="0" applyNumberFormat="1" applyFill="1" applyBorder="1"/>
    <xf numFmtId="2" fontId="0" fillId="0" borderId="2" xfId="0" applyNumberFormat="1" applyBorder="1"/>
    <xf numFmtId="0" fontId="0" fillId="3" borderId="2" xfId="0" applyFill="1" applyBorder="1"/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opLeftCell="A3" zoomScale="70" zoomScaleNormal="70" workbookViewId="0">
      <selection activeCell="K12" sqref="K12"/>
    </sheetView>
  </sheetViews>
  <sheetFormatPr defaultRowHeight="14.5"/>
  <cols>
    <col min="1" max="1" width="4.08984375" bestFit="1" customWidth="1"/>
    <col min="2" max="2" width="39.6328125" bestFit="1" customWidth="1"/>
    <col min="3" max="3" width="24" customWidth="1"/>
    <col min="6" max="6" width="11.26953125" customWidth="1"/>
    <col min="7" max="7" width="15.6328125" style="8" bestFit="1" customWidth="1"/>
    <col min="8" max="8" width="28.26953125" style="8" bestFit="1" customWidth="1"/>
    <col min="9" max="9" width="23.1796875" style="9" bestFit="1" customWidth="1"/>
  </cols>
  <sheetData>
    <row r="1" spans="1:28">
      <c r="B1" s="37" t="s">
        <v>0</v>
      </c>
      <c r="C1" s="37"/>
      <c r="D1" s="37"/>
      <c r="E1" s="37"/>
      <c r="F1" s="37"/>
      <c r="G1" s="37"/>
      <c r="H1" s="37"/>
      <c r="I1" s="37"/>
    </row>
    <row r="3" spans="1:2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  <c r="I3" s="3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28">
      <c r="A4" s="4">
        <v>1</v>
      </c>
      <c r="B4" s="5" t="s">
        <v>19</v>
      </c>
      <c r="C4" s="5" t="s">
        <v>20</v>
      </c>
      <c r="D4" s="5">
        <v>544307</v>
      </c>
      <c r="E4" s="5">
        <v>240849</v>
      </c>
      <c r="F4" s="4" t="s">
        <v>21</v>
      </c>
      <c r="G4" s="5" t="s">
        <v>22</v>
      </c>
      <c r="H4" s="5"/>
      <c r="I4" s="6" t="s">
        <v>87</v>
      </c>
      <c r="J4" s="7"/>
      <c r="K4" s="4">
        <v>7</v>
      </c>
      <c r="L4" s="4"/>
      <c r="M4" s="4"/>
      <c r="N4" s="4"/>
      <c r="O4" s="4"/>
      <c r="P4" s="4"/>
      <c r="Q4" s="4"/>
      <c r="R4" s="4"/>
    </row>
    <row r="5" spans="1:28">
      <c r="A5" s="4">
        <v>2</v>
      </c>
      <c r="B5" s="5" t="s">
        <v>23</v>
      </c>
      <c r="C5" s="5" t="s">
        <v>24</v>
      </c>
      <c r="D5" s="5">
        <v>556141</v>
      </c>
      <c r="E5" s="5">
        <v>238674</v>
      </c>
      <c r="F5" s="4" t="s">
        <v>21</v>
      </c>
      <c r="G5" s="5" t="s">
        <v>32</v>
      </c>
      <c r="H5" s="5" t="s">
        <v>83</v>
      </c>
      <c r="I5" s="6"/>
      <c r="J5" s="7">
        <v>30.47</v>
      </c>
      <c r="K5" s="30">
        <f>(6.88+6.93+6.94)/3</f>
        <v>6.916666666666667</v>
      </c>
      <c r="L5" s="4">
        <v>9</v>
      </c>
      <c r="M5" s="4">
        <v>6.2E-2</v>
      </c>
      <c r="N5" s="4">
        <f>(318+297)/2</f>
        <v>307.5</v>
      </c>
      <c r="O5" s="4">
        <f>(13.16+8.3)/2</f>
        <v>10.73</v>
      </c>
      <c r="P5" s="4">
        <f>(175.8+111)/2</f>
        <v>143.4</v>
      </c>
      <c r="Q5" s="4">
        <v>2.5999999999999999E-2</v>
      </c>
      <c r="R5" s="4">
        <v>0</v>
      </c>
    </row>
    <row r="6" spans="1:28">
      <c r="A6" s="4">
        <v>3</v>
      </c>
      <c r="B6" s="5" t="s">
        <v>20</v>
      </c>
      <c r="C6" s="5" t="s">
        <v>25</v>
      </c>
      <c r="D6" s="5">
        <v>554689</v>
      </c>
      <c r="E6" s="5">
        <v>238166</v>
      </c>
      <c r="F6" s="4" t="s">
        <v>21</v>
      </c>
      <c r="G6" s="5" t="s">
        <v>32</v>
      </c>
      <c r="H6" s="5" t="s">
        <v>83</v>
      </c>
      <c r="I6" s="6"/>
      <c r="J6" s="7">
        <v>30.88</v>
      </c>
      <c r="K6" s="4">
        <f>(6.36+6.38+6.4)/3</f>
        <v>6.38</v>
      </c>
      <c r="L6" s="4">
        <v>-16</v>
      </c>
      <c r="M6" s="4">
        <v>4.8000000000000001E-2</v>
      </c>
      <c r="N6" s="4">
        <f>(323+270)/2</f>
        <v>296.5</v>
      </c>
      <c r="O6" s="4">
        <v>4.57</v>
      </c>
      <c r="P6" s="4">
        <v>61.4</v>
      </c>
      <c r="Q6" s="4">
        <v>3.1E-2</v>
      </c>
      <c r="R6" s="4">
        <v>0</v>
      </c>
    </row>
    <row r="7" spans="1:28">
      <c r="A7" s="4">
        <v>4</v>
      </c>
      <c r="B7" s="5" t="s">
        <v>26</v>
      </c>
      <c r="C7" s="5" t="s">
        <v>27</v>
      </c>
      <c r="D7" s="5">
        <v>550496</v>
      </c>
      <c r="E7" s="5">
        <v>232857</v>
      </c>
      <c r="F7" s="4" t="s">
        <v>21</v>
      </c>
      <c r="G7" s="5" t="s">
        <v>32</v>
      </c>
      <c r="H7" s="5"/>
      <c r="I7" s="6"/>
      <c r="J7" s="7">
        <v>30.44</v>
      </c>
      <c r="K7" s="4">
        <v>7.22</v>
      </c>
      <c r="L7" s="4">
        <v>63</v>
      </c>
      <c r="M7" s="4">
        <v>5.8999999999999997E-2</v>
      </c>
      <c r="N7" s="4">
        <v>38.1</v>
      </c>
      <c r="O7" s="4">
        <v>7.87</v>
      </c>
      <c r="P7" s="4">
        <v>105.2</v>
      </c>
      <c r="Q7" s="4">
        <v>3.7999999999999999E-2</v>
      </c>
      <c r="R7" s="4">
        <v>0</v>
      </c>
    </row>
    <row r="8" spans="1:28">
      <c r="A8" s="4">
        <v>5</v>
      </c>
      <c r="B8" s="5" t="s">
        <v>28</v>
      </c>
      <c r="C8" s="5" t="s">
        <v>29</v>
      </c>
      <c r="D8" s="5">
        <v>549199</v>
      </c>
      <c r="E8" s="5">
        <v>235712</v>
      </c>
      <c r="F8" s="4" t="s">
        <v>21</v>
      </c>
      <c r="G8" s="5" t="s">
        <v>22</v>
      </c>
      <c r="H8" s="5" t="s">
        <v>30</v>
      </c>
      <c r="I8" s="6"/>
      <c r="J8" s="7">
        <v>34.54</v>
      </c>
      <c r="K8" s="4">
        <v>2.5099999999999998</v>
      </c>
      <c r="L8" s="4">
        <v>312</v>
      </c>
      <c r="M8" s="4">
        <v>0.28199999999999997</v>
      </c>
      <c r="N8" s="4">
        <v>334</v>
      </c>
      <c r="O8" s="4">
        <v>7.59</v>
      </c>
      <c r="P8" s="4">
        <v>107.2</v>
      </c>
      <c r="Q8" s="4">
        <v>0.183</v>
      </c>
      <c r="R8" s="4">
        <v>0.1</v>
      </c>
    </row>
    <row r="9" spans="1:28">
      <c r="A9" s="4">
        <v>6</v>
      </c>
      <c r="B9" s="5" t="s">
        <v>31</v>
      </c>
      <c r="C9" s="5" t="s">
        <v>31</v>
      </c>
      <c r="D9" s="5">
        <v>508851</v>
      </c>
      <c r="E9" s="5">
        <v>187599</v>
      </c>
      <c r="F9" s="4" t="s">
        <v>21</v>
      </c>
      <c r="G9" s="5" t="s">
        <v>32</v>
      </c>
      <c r="H9" s="5" t="s">
        <v>33</v>
      </c>
      <c r="I9" s="6"/>
      <c r="J9" s="7">
        <v>27.744999999999997</v>
      </c>
      <c r="K9" s="7">
        <v>9.4499999999999993</v>
      </c>
      <c r="L9" s="4">
        <v>-20</v>
      </c>
      <c r="M9" s="4">
        <v>4.2499999999999996E-2</v>
      </c>
      <c r="N9" s="4">
        <v>131.5</v>
      </c>
      <c r="O9" s="4">
        <v>12.205</v>
      </c>
      <c r="P9" s="4">
        <v>156.85</v>
      </c>
      <c r="Q9" s="4">
        <v>2.7E-2</v>
      </c>
      <c r="R9" s="4">
        <v>0</v>
      </c>
    </row>
    <row r="10" spans="1:28">
      <c r="A10" s="4">
        <v>7</v>
      </c>
      <c r="B10" s="5" t="s">
        <v>34</v>
      </c>
      <c r="C10" s="5" t="s">
        <v>35</v>
      </c>
      <c r="D10" s="5">
        <v>526669</v>
      </c>
      <c r="E10" s="5">
        <v>200169</v>
      </c>
      <c r="F10" s="4" t="s">
        <v>21</v>
      </c>
      <c r="G10" s="5" t="s">
        <v>32</v>
      </c>
      <c r="H10" s="5" t="s">
        <v>33</v>
      </c>
      <c r="I10" s="6"/>
      <c r="J10" s="7">
        <v>28.939999999999998</v>
      </c>
      <c r="K10" s="12">
        <f>(6.49+6.52+6.49)/3</f>
        <v>6.5</v>
      </c>
      <c r="L10" s="4">
        <f>AVERAGE(64, 71)</f>
        <v>67.5</v>
      </c>
      <c r="M10" s="4">
        <f>AVERAGE(0.048, 0.047)</f>
        <v>4.7500000000000001E-2</v>
      </c>
      <c r="N10" s="4">
        <f>AVERAGE(272, 266)</f>
        <v>269</v>
      </c>
      <c r="O10" s="4">
        <f>AVERAGE(9.22, 7.5)</f>
        <v>8.36</v>
      </c>
      <c r="P10" s="4">
        <f>AVERAGE(120.7, 98.1)</f>
        <v>109.4</v>
      </c>
      <c r="Q10" s="4">
        <f>AVERAGE(0.031, 0.031)</f>
        <v>3.1E-2</v>
      </c>
      <c r="R10" s="4">
        <v>0</v>
      </c>
    </row>
    <row r="11" spans="1:28">
      <c r="A11" s="4">
        <v>8</v>
      </c>
      <c r="B11" s="5" t="s">
        <v>36</v>
      </c>
      <c r="C11" s="5" t="s">
        <v>37</v>
      </c>
      <c r="D11" s="5">
        <v>535570</v>
      </c>
      <c r="E11" s="5">
        <v>220455</v>
      </c>
      <c r="F11" s="4" t="s">
        <v>21</v>
      </c>
      <c r="G11" s="5" t="s">
        <v>22</v>
      </c>
      <c r="H11" s="5" t="s">
        <v>33</v>
      </c>
      <c r="I11" s="6"/>
      <c r="J11" s="7">
        <v>30.020000000000003</v>
      </c>
      <c r="K11" s="13">
        <f>(2.77+2.74+2.71)/3</f>
        <v>2.7399999999999998</v>
      </c>
      <c r="L11" s="14">
        <v>55</v>
      </c>
      <c r="M11" s="14">
        <v>5.3499999999999999E-2</v>
      </c>
      <c r="N11" s="14">
        <v>64.349999999999994</v>
      </c>
      <c r="O11" s="14">
        <v>10.795</v>
      </c>
      <c r="P11" s="14">
        <v>143.35000000000002</v>
      </c>
      <c r="Q11" s="14">
        <v>3.5000000000000003E-2</v>
      </c>
      <c r="R11" s="4">
        <v>0</v>
      </c>
    </row>
    <row r="12" spans="1:28">
      <c r="A12" s="4">
        <v>9</v>
      </c>
      <c r="B12" s="5" t="s">
        <v>38</v>
      </c>
      <c r="C12" s="5" t="s">
        <v>28</v>
      </c>
      <c r="D12" s="5">
        <v>539796</v>
      </c>
      <c r="E12" s="5">
        <v>224327</v>
      </c>
      <c r="F12" s="4" t="s">
        <v>21</v>
      </c>
      <c r="G12" s="5" t="s">
        <v>22</v>
      </c>
      <c r="H12" s="5" t="s">
        <v>33</v>
      </c>
      <c r="I12" s="6"/>
      <c r="J12" s="7">
        <v>31.18</v>
      </c>
      <c r="K12" s="10">
        <f>(5.34+5.38+5.34)/3</f>
        <v>5.3533333333333326</v>
      </c>
      <c r="L12" s="7">
        <v>51</v>
      </c>
      <c r="M12" s="7">
        <v>0.01</v>
      </c>
      <c r="N12" s="7">
        <v>32.1</v>
      </c>
      <c r="O12" s="7">
        <v>5.92</v>
      </c>
      <c r="P12" s="7">
        <v>80</v>
      </c>
      <c r="Q12" s="7">
        <v>7.0000000000000007E-2</v>
      </c>
      <c r="R12" s="7">
        <v>0</v>
      </c>
      <c r="T12" t="s">
        <v>86</v>
      </c>
    </row>
    <row r="13" spans="1:28">
      <c r="A13" s="4">
        <v>10</v>
      </c>
      <c r="B13" s="5" t="s">
        <v>39</v>
      </c>
      <c r="C13" s="5" t="s">
        <v>23</v>
      </c>
      <c r="D13" s="5">
        <v>545272</v>
      </c>
      <c r="E13" s="5">
        <v>238375</v>
      </c>
      <c r="F13" s="4" t="s">
        <v>21</v>
      </c>
      <c r="G13" s="5" t="s">
        <v>22</v>
      </c>
      <c r="H13" s="5" t="s">
        <v>40</v>
      </c>
      <c r="I13" s="6"/>
      <c r="J13" s="7">
        <v>27.84</v>
      </c>
      <c r="K13" s="7">
        <f>(5.97+5.98+6)/3</f>
        <v>5.9833333333333334</v>
      </c>
      <c r="L13" s="4">
        <v>-244</v>
      </c>
      <c r="M13" s="4">
        <v>0.27300000000000002</v>
      </c>
      <c r="N13" s="4">
        <v>15.2</v>
      </c>
      <c r="O13" s="4">
        <v>0</v>
      </c>
      <c r="P13" s="4">
        <v>0</v>
      </c>
      <c r="Q13" s="4">
        <v>0.17699999999999999</v>
      </c>
      <c r="R13" s="4">
        <v>0.01</v>
      </c>
      <c r="T13" s="4">
        <v>33.6</v>
      </c>
      <c r="U13" s="4">
        <v>4.1399999999999997</v>
      </c>
      <c r="V13" s="4">
        <v>261</v>
      </c>
      <c r="W13" s="4">
        <v>0.69</v>
      </c>
      <c r="X13" s="4">
        <v>319</v>
      </c>
      <c r="Y13" s="4">
        <v>4.3499999999999996</v>
      </c>
      <c r="Z13" s="4">
        <v>59.2</v>
      </c>
      <c r="AA13" s="4">
        <v>0.442</v>
      </c>
      <c r="AB13" s="4">
        <v>0.3</v>
      </c>
    </row>
    <row r="14" spans="1:28">
      <c r="A14" s="4">
        <v>11</v>
      </c>
      <c r="B14" s="5" t="s">
        <v>35</v>
      </c>
      <c r="C14" s="5" t="s">
        <v>39</v>
      </c>
      <c r="D14" s="5">
        <v>543324</v>
      </c>
      <c r="E14" s="5">
        <v>239136</v>
      </c>
      <c r="F14" s="4" t="s">
        <v>21</v>
      </c>
      <c r="G14" s="5" t="s">
        <v>22</v>
      </c>
      <c r="H14" s="5" t="s">
        <v>41</v>
      </c>
      <c r="I14" s="6"/>
      <c r="J14" s="7">
        <f>AVERAGE(30.11,30.07)</f>
        <v>30.09</v>
      </c>
      <c r="K14" s="4">
        <v>6.11</v>
      </c>
      <c r="L14" s="4">
        <f>AVERAGE(-29,-71)</f>
        <v>-50</v>
      </c>
      <c r="M14" s="4">
        <f>AVERAGE(0,0.041)</f>
        <v>2.0500000000000001E-2</v>
      </c>
      <c r="N14" s="4">
        <f>AVERAGE(224,241)</f>
        <v>232.5</v>
      </c>
      <c r="O14" s="4">
        <f>AVERAGE(8.93,5.81)</f>
        <v>7.3699999999999992</v>
      </c>
      <c r="P14" s="4">
        <f>AVERAGE(118.7,77.2)</f>
        <v>97.95</v>
      </c>
      <c r="Q14" s="4">
        <f>AVERAGE(0.024,0.027)</f>
        <v>2.5500000000000002E-2</v>
      </c>
      <c r="R14" s="4">
        <f>AVERAGE(0,0)</f>
        <v>0</v>
      </c>
    </row>
    <row r="15" spans="1:28">
      <c r="A15" s="4">
        <v>12</v>
      </c>
      <c r="B15" s="5" t="s">
        <v>42</v>
      </c>
      <c r="C15" s="5" t="s">
        <v>43</v>
      </c>
      <c r="D15" s="5">
        <v>549495</v>
      </c>
      <c r="E15" s="5">
        <v>237335</v>
      </c>
      <c r="F15" s="4" t="s">
        <v>21</v>
      </c>
      <c r="G15" s="5" t="s">
        <v>22</v>
      </c>
      <c r="H15" s="5" t="s">
        <v>30</v>
      </c>
      <c r="I15" s="6" t="s">
        <v>84</v>
      </c>
      <c r="J15" s="7"/>
      <c r="K15" s="4">
        <v>1.76</v>
      </c>
      <c r="L15" s="4"/>
      <c r="M15" s="4"/>
      <c r="N15" s="4"/>
      <c r="O15" s="4"/>
      <c r="P15" s="4"/>
      <c r="Q15" s="4"/>
      <c r="R15" s="4"/>
    </row>
    <row r="16" spans="1:28">
      <c r="A16" s="4">
        <v>13</v>
      </c>
      <c r="B16" s="5" t="s">
        <v>44</v>
      </c>
      <c r="C16" s="5" t="s">
        <v>44</v>
      </c>
      <c r="D16" s="5">
        <v>550483</v>
      </c>
      <c r="E16" s="5">
        <v>232871</v>
      </c>
      <c r="F16" s="4" t="s">
        <v>21</v>
      </c>
      <c r="G16" s="5" t="s">
        <v>32</v>
      </c>
      <c r="H16" s="5" t="s">
        <v>33</v>
      </c>
      <c r="I16" s="6"/>
      <c r="J16" s="7">
        <v>30.38</v>
      </c>
      <c r="K16" s="4">
        <v>7</v>
      </c>
      <c r="L16" s="4">
        <v>93</v>
      </c>
      <c r="M16" s="4">
        <v>5.8999999999999997E-2</v>
      </c>
      <c r="N16" s="4">
        <v>146.5</v>
      </c>
      <c r="O16" s="4">
        <v>8.57</v>
      </c>
      <c r="P16" s="4">
        <v>114.5</v>
      </c>
      <c r="Q16" s="4">
        <v>3.9E-2</v>
      </c>
      <c r="R16" s="4">
        <v>0</v>
      </c>
    </row>
    <row r="17" spans="1:18">
      <c r="A17" s="4">
        <v>14</v>
      </c>
      <c r="B17" s="5" t="s">
        <v>29</v>
      </c>
      <c r="C17" s="5" t="s">
        <v>45</v>
      </c>
      <c r="D17" s="5">
        <v>554828</v>
      </c>
      <c r="E17" s="5">
        <v>234535</v>
      </c>
      <c r="F17" s="4" t="s">
        <v>21</v>
      </c>
      <c r="G17" s="5" t="s">
        <v>32</v>
      </c>
      <c r="H17" s="5" t="s">
        <v>33</v>
      </c>
      <c r="I17" s="6"/>
      <c r="J17" s="7">
        <v>30.68</v>
      </c>
      <c r="K17" s="4">
        <f>(6.66+6.84+6.84)/3</f>
        <v>6.78</v>
      </c>
      <c r="L17" s="4">
        <v>86</v>
      </c>
      <c r="M17" s="4">
        <v>0.06</v>
      </c>
      <c r="N17" s="4">
        <v>102</v>
      </c>
      <c r="O17" s="4">
        <v>7.27</v>
      </c>
      <c r="P17" s="4">
        <v>97.4</v>
      </c>
      <c r="Q17" s="4">
        <v>3.9E-2</v>
      </c>
      <c r="R17" s="4">
        <v>0</v>
      </c>
    </row>
    <row r="18" spans="1:18">
      <c r="A18" s="4">
        <v>15</v>
      </c>
      <c r="B18" s="5" t="s">
        <v>46</v>
      </c>
      <c r="C18" s="5" t="s">
        <v>47</v>
      </c>
      <c r="D18" s="5">
        <v>562109</v>
      </c>
      <c r="E18" s="5">
        <v>238193</v>
      </c>
      <c r="F18" s="4" t="s">
        <v>21</v>
      </c>
      <c r="G18" s="5" t="s">
        <v>22</v>
      </c>
      <c r="H18" s="5" t="s">
        <v>48</v>
      </c>
      <c r="I18" s="6"/>
      <c r="J18" s="7">
        <v>30.43</v>
      </c>
      <c r="K18" s="12">
        <f>(6.11+6.14+6.17)/3</f>
        <v>6.1400000000000006</v>
      </c>
      <c r="L18" s="4">
        <v>33</v>
      </c>
      <c r="M18" s="4">
        <v>5.7000000000000002E-2</v>
      </c>
      <c r="N18" s="4">
        <v>54.6</v>
      </c>
      <c r="O18" s="4">
        <v>8.19</v>
      </c>
      <c r="P18" s="4">
        <v>109.5</v>
      </c>
      <c r="Q18" s="4">
        <v>3.6999999999999998E-2</v>
      </c>
      <c r="R18" s="4">
        <v>0</v>
      </c>
    </row>
    <row r="19" spans="1:18">
      <c r="A19" s="4">
        <v>16</v>
      </c>
      <c r="B19" s="5" t="s">
        <v>49</v>
      </c>
      <c r="C19" s="5" t="s">
        <v>50</v>
      </c>
      <c r="D19" s="5">
        <v>575096</v>
      </c>
      <c r="E19" s="5">
        <v>235951</v>
      </c>
      <c r="F19" s="4" t="s">
        <v>21</v>
      </c>
      <c r="G19" s="5" t="s">
        <v>22</v>
      </c>
      <c r="H19" s="5" t="s">
        <v>51</v>
      </c>
      <c r="I19" s="6"/>
      <c r="J19" s="7">
        <v>29.83</v>
      </c>
      <c r="K19" s="7">
        <f>(5.43+5.47+5.5)/3</f>
        <v>5.4666666666666659</v>
      </c>
      <c r="L19" s="4">
        <v>17</v>
      </c>
      <c r="M19" s="4">
        <v>9.01</v>
      </c>
      <c r="N19" s="4">
        <v>128</v>
      </c>
      <c r="O19" s="4">
        <v>2.1800000000000002</v>
      </c>
      <c r="P19" s="4">
        <v>29.7</v>
      </c>
      <c r="Q19" s="4">
        <v>5.68</v>
      </c>
      <c r="R19" s="4">
        <v>5</v>
      </c>
    </row>
    <row r="20" spans="1:18">
      <c r="A20" s="4">
        <v>17</v>
      </c>
      <c r="B20" s="5" t="s">
        <v>52</v>
      </c>
      <c r="C20" s="5" t="s">
        <v>53</v>
      </c>
      <c r="D20" s="5">
        <v>574280</v>
      </c>
      <c r="E20" s="5">
        <v>236964</v>
      </c>
      <c r="F20" s="4" t="s">
        <v>21</v>
      </c>
      <c r="G20" s="5" t="s">
        <v>32</v>
      </c>
      <c r="H20" s="5" t="s">
        <v>54</v>
      </c>
      <c r="I20" s="6"/>
      <c r="J20" s="7">
        <v>33.130000000000003</v>
      </c>
      <c r="K20" s="11">
        <v>8.2899999999999991</v>
      </c>
      <c r="L20" s="4">
        <v>14</v>
      </c>
      <c r="M20" s="4">
        <v>7.0000000000000007E-2</v>
      </c>
      <c r="N20" s="4">
        <v>1.1599999999999999</v>
      </c>
      <c r="O20" s="4">
        <v>5.73</v>
      </c>
      <c r="P20" s="4">
        <v>79.5</v>
      </c>
      <c r="Q20" s="4">
        <v>0.05</v>
      </c>
      <c r="R20" s="4">
        <v>0</v>
      </c>
    </row>
    <row r="21" spans="1:18">
      <c r="A21" s="4">
        <v>18</v>
      </c>
      <c r="B21" s="5" t="s">
        <v>55</v>
      </c>
      <c r="C21" s="5" t="s">
        <v>56</v>
      </c>
      <c r="D21" s="5">
        <v>570494</v>
      </c>
      <c r="E21" s="5">
        <v>233080</v>
      </c>
      <c r="F21" s="4" t="s">
        <v>21</v>
      </c>
      <c r="G21" s="5" t="s">
        <v>22</v>
      </c>
      <c r="H21" s="5" t="s">
        <v>57</v>
      </c>
      <c r="I21" s="6"/>
      <c r="J21" s="7">
        <v>33.31</v>
      </c>
      <c r="K21" s="4">
        <v>3.58</v>
      </c>
      <c r="L21" s="4">
        <v>359</v>
      </c>
      <c r="M21" s="4">
        <v>1.03</v>
      </c>
      <c r="N21" s="4">
        <v>0</v>
      </c>
      <c r="O21" s="4">
        <v>12.41</v>
      </c>
      <c r="P21" s="4">
        <v>172.9</v>
      </c>
      <c r="Q21" s="4">
        <v>0.66100000000000003</v>
      </c>
      <c r="R21" s="4">
        <v>0.5</v>
      </c>
    </row>
    <row r="22" spans="1:18">
      <c r="A22" s="4">
        <v>19</v>
      </c>
      <c r="B22" s="5" t="s">
        <v>58</v>
      </c>
      <c r="C22" s="5" t="s">
        <v>42</v>
      </c>
      <c r="D22" s="5">
        <v>527715</v>
      </c>
      <c r="E22" s="5">
        <v>229518</v>
      </c>
      <c r="F22" s="4" t="s">
        <v>21</v>
      </c>
      <c r="G22" s="5" t="s">
        <v>22</v>
      </c>
      <c r="H22" s="5" t="s">
        <v>59</v>
      </c>
      <c r="I22" s="6"/>
      <c r="J22" s="7">
        <v>25.79</v>
      </c>
      <c r="K22" s="4">
        <v>5.64</v>
      </c>
      <c r="L22" s="4">
        <v>67</v>
      </c>
      <c r="M22" s="4">
        <v>9.7000000000000003E-2</v>
      </c>
      <c r="N22" s="4">
        <v>164</v>
      </c>
      <c r="O22" s="4">
        <v>0</v>
      </c>
      <c r="P22" s="4">
        <v>0</v>
      </c>
      <c r="Q22" s="4">
        <v>6.3E-2</v>
      </c>
      <c r="R22" s="4">
        <v>0</v>
      </c>
    </row>
    <row r="23" spans="1:18">
      <c r="A23" s="4">
        <v>20</v>
      </c>
      <c r="B23" s="5" t="s">
        <v>60</v>
      </c>
      <c r="C23" s="5" t="s">
        <v>60</v>
      </c>
      <c r="D23" s="5">
        <v>515423</v>
      </c>
      <c r="E23" s="5">
        <v>234672</v>
      </c>
      <c r="F23" s="4" t="s">
        <v>21</v>
      </c>
      <c r="G23" s="5" t="s">
        <v>32</v>
      </c>
      <c r="H23" s="5" t="s">
        <v>61</v>
      </c>
      <c r="I23" s="6"/>
      <c r="J23" s="7">
        <v>30.47</v>
      </c>
      <c r="K23" s="13">
        <f>(6.72+6.78+6.78)/3</f>
        <v>6.7600000000000007</v>
      </c>
      <c r="L23" s="4">
        <v>-16</v>
      </c>
      <c r="M23" s="4">
        <v>4.8000000000000001E-2</v>
      </c>
      <c r="N23" s="4">
        <v>34</v>
      </c>
      <c r="O23" s="4">
        <v>3.28</v>
      </c>
      <c r="P23" s="4">
        <v>43.59</v>
      </c>
      <c r="Q23" s="4">
        <v>3.1E-2</v>
      </c>
      <c r="R23" s="4">
        <v>0</v>
      </c>
    </row>
    <row r="24" spans="1:18">
      <c r="A24" s="4">
        <v>21</v>
      </c>
      <c r="B24" s="5" t="s">
        <v>62</v>
      </c>
      <c r="C24" s="5" t="s">
        <v>34</v>
      </c>
      <c r="D24" s="5">
        <v>511844</v>
      </c>
      <c r="E24" s="5">
        <v>241970</v>
      </c>
      <c r="F24" s="4" t="s">
        <v>21</v>
      </c>
      <c r="G24" s="5" t="s">
        <v>32</v>
      </c>
      <c r="H24" s="5" t="s">
        <v>33</v>
      </c>
      <c r="I24" s="6"/>
      <c r="J24" s="7">
        <v>30.29</v>
      </c>
      <c r="K24" s="4">
        <f>(6.29+6.33+6.28)/3</f>
        <v>6.3000000000000007</v>
      </c>
      <c r="L24" s="4">
        <v>21</v>
      </c>
      <c r="M24" s="4">
        <v>2.8000000000000001E-2</v>
      </c>
      <c r="N24" s="4">
        <v>249</v>
      </c>
      <c r="O24" s="4">
        <v>653</v>
      </c>
      <c r="P24" s="4">
        <v>87.1</v>
      </c>
      <c r="Q24" s="4">
        <v>1.7999999999999999E-2</v>
      </c>
      <c r="R24" s="4">
        <v>0</v>
      </c>
    </row>
    <row r="25" spans="1:18">
      <c r="A25" s="4">
        <v>22</v>
      </c>
      <c r="B25" s="5" t="s">
        <v>27</v>
      </c>
      <c r="C25" s="5" t="s">
        <v>63</v>
      </c>
      <c r="D25" s="5">
        <v>547901</v>
      </c>
      <c r="E25" s="5">
        <v>226639</v>
      </c>
      <c r="F25" s="4" t="s">
        <v>21</v>
      </c>
      <c r="G25" s="5" t="s">
        <v>22</v>
      </c>
      <c r="H25" s="5" t="s">
        <v>33</v>
      </c>
      <c r="I25" s="6"/>
      <c r="J25" s="7">
        <v>30.86</v>
      </c>
      <c r="K25" s="12">
        <f>(7.01+7.02+7.03)/3</f>
        <v>7.02</v>
      </c>
      <c r="L25" s="4">
        <v>-31</v>
      </c>
      <c r="M25" s="4">
        <v>0.06</v>
      </c>
      <c r="N25" s="4">
        <v>27.7</v>
      </c>
      <c r="O25" s="4">
        <v>8.61</v>
      </c>
      <c r="P25" s="4">
        <v>115.8</v>
      </c>
      <c r="Q25" s="4">
        <v>3.9E-2</v>
      </c>
      <c r="R25" s="4">
        <v>0</v>
      </c>
    </row>
    <row r="26" spans="1:18">
      <c r="A26" s="4">
        <v>23</v>
      </c>
      <c r="B26" s="5" t="s">
        <v>63</v>
      </c>
      <c r="C26" s="5" t="s">
        <v>36</v>
      </c>
      <c r="D26" s="5">
        <v>544172</v>
      </c>
      <c r="E26" s="5">
        <v>225594</v>
      </c>
      <c r="F26" s="4" t="s">
        <v>21</v>
      </c>
      <c r="G26" s="5" t="s">
        <v>32</v>
      </c>
      <c r="H26" s="5" t="s">
        <v>33</v>
      </c>
      <c r="I26" s="6"/>
      <c r="J26" s="7">
        <v>30.85</v>
      </c>
      <c r="K26" s="4">
        <v>7.48</v>
      </c>
      <c r="L26" s="4">
        <v>4</v>
      </c>
      <c r="M26" s="4">
        <v>5.3999999999999999E-2</v>
      </c>
      <c r="N26" s="4">
        <v>52.4</v>
      </c>
      <c r="O26" s="4">
        <v>10.48</v>
      </c>
      <c r="P26" s="4">
        <v>140.9</v>
      </c>
      <c r="Q26" s="4">
        <v>3.5000000000000003E-2</v>
      </c>
      <c r="R26" s="4">
        <v>0</v>
      </c>
    </row>
    <row r="27" spans="1:18">
      <c r="A27" s="4">
        <v>24</v>
      </c>
      <c r="B27" s="5" t="s">
        <v>64</v>
      </c>
      <c r="C27" s="5" t="s">
        <v>65</v>
      </c>
      <c r="D27" s="5">
        <v>544172</v>
      </c>
      <c r="E27" s="5">
        <v>225534</v>
      </c>
      <c r="F27" s="4" t="s">
        <v>21</v>
      </c>
      <c r="G27" s="5" t="s">
        <v>22</v>
      </c>
      <c r="H27" s="5" t="s">
        <v>33</v>
      </c>
      <c r="I27" s="6"/>
      <c r="J27" s="7">
        <v>30.43</v>
      </c>
      <c r="K27" s="4">
        <v>6.85</v>
      </c>
      <c r="L27" s="4">
        <v>26</v>
      </c>
      <c r="M27" s="4">
        <v>0.08</v>
      </c>
      <c r="N27" s="4">
        <v>8.09</v>
      </c>
      <c r="O27" s="4">
        <v>0.1</v>
      </c>
      <c r="P27" s="4">
        <v>1.3</v>
      </c>
      <c r="Q27" s="4">
        <v>5.1999999999999998E-2</v>
      </c>
      <c r="R27" s="4">
        <v>0</v>
      </c>
    </row>
    <row r="28" spans="1:18">
      <c r="A28" s="4">
        <v>25</v>
      </c>
      <c r="B28" s="5" t="s">
        <v>66</v>
      </c>
      <c r="C28" s="5" t="s">
        <v>38</v>
      </c>
      <c r="D28" s="5">
        <v>544910</v>
      </c>
      <c r="E28" s="5">
        <v>226033</v>
      </c>
      <c r="F28" s="4" t="s">
        <v>21</v>
      </c>
      <c r="G28" s="5" t="s">
        <v>22</v>
      </c>
      <c r="H28" s="5" t="s">
        <v>67</v>
      </c>
      <c r="I28" s="6"/>
      <c r="J28" s="7">
        <v>33</v>
      </c>
      <c r="K28" s="4">
        <v>7.58</v>
      </c>
      <c r="L28" s="4">
        <v>20</v>
      </c>
      <c r="M28" s="4">
        <v>5.2999999999999999E-2</v>
      </c>
      <c r="N28" s="4">
        <v>31.34</v>
      </c>
      <c r="O28" s="4">
        <v>9.6300000000000008</v>
      </c>
      <c r="P28" s="4">
        <v>129.5</v>
      </c>
      <c r="Q28" s="4">
        <v>3.4000000000000002E-2</v>
      </c>
      <c r="R28" s="4">
        <v>0</v>
      </c>
    </row>
    <row r="29" spans="1:18">
      <c r="A29" s="4">
        <v>26</v>
      </c>
      <c r="B29" s="5" t="s">
        <v>68</v>
      </c>
      <c r="C29" s="5" t="s">
        <v>69</v>
      </c>
      <c r="D29" s="5">
        <v>579968</v>
      </c>
      <c r="E29" s="5">
        <v>241888</v>
      </c>
      <c r="F29" s="4" t="s">
        <v>21</v>
      </c>
      <c r="G29" s="5" t="s">
        <v>32</v>
      </c>
      <c r="H29" s="5" t="s">
        <v>33</v>
      </c>
      <c r="I29" s="6"/>
      <c r="J29" s="7">
        <v>31.68</v>
      </c>
      <c r="K29" s="7">
        <f>(5.62+5.66+5.69)/3</f>
        <v>5.6566666666666672</v>
      </c>
      <c r="L29" s="4">
        <v>8</v>
      </c>
      <c r="M29" s="4">
        <v>10.199999999999999</v>
      </c>
      <c r="N29" s="4">
        <v>33.299999999999997</v>
      </c>
      <c r="O29" s="4">
        <v>3.51</v>
      </c>
      <c r="P29" s="4">
        <v>49.3</v>
      </c>
      <c r="Q29" s="4">
        <v>6.33</v>
      </c>
      <c r="R29" s="4">
        <v>5.7</v>
      </c>
    </row>
    <row r="30" spans="1:18">
      <c r="A30" s="4">
        <v>27</v>
      </c>
      <c r="B30" s="5" t="s">
        <v>70</v>
      </c>
      <c r="C30" s="5" t="s">
        <v>71</v>
      </c>
      <c r="D30" s="5">
        <v>561189</v>
      </c>
      <c r="E30" s="5">
        <v>240197</v>
      </c>
      <c r="F30" s="4"/>
      <c r="G30" s="5" t="s">
        <v>32</v>
      </c>
      <c r="H30" s="5" t="s">
        <v>33</v>
      </c>
      <c r="I30" s="6"/>
      <c r="J30" s="7">
        <v>31.37</v>
      </c>
      <c r="K30" s="4">
        <v>8.27</v>
      </c>
      <c r="L30" s="4">
        <v>-28</v>
      </c>
      <c r="M30" s="4">
        <v>6.2E-2</v>
      </c>
      <c r="N30" s="4">
        <v>556</v>
      </c>
      <c r="O30" s="4">
        <v>3.42</v>
      </c>
      <c r="P30" s="4">
        <v>46.3</v>
      </c>
      <c r="Q30" s="4">
        <v>0.04</v>
      </c>
      <c r="R30" s="4">
        <v>0</v>
      </c>
    </row>
    <row r="31" spans="1:18">
      <c r="A31" s="4">
        <v>28</v>
      </c>
      <c r="B31" s="5" t="s">
        <v>72</v>
      </c>
      <c r="C31" s="5" t="s">
        <v>73</v>
      </c>
      <c r="D31" s="5">
        <v>601415</v>
      </c>
      <c r="E31" s="5">
        <v>243886</v>
      </c>
      <c r="F31" s="4" t="s">
        <v>21</v>
      </c>
      <c r="G31" s="5" t="s">
        <v>32</v>
      </c>
      <c r="H31" s="5" t="s">
        <v>33</v>
      </c>
      <c r="I31" s="6"/>
      <c r="J31" s="7">
        <v>30.83</v>
      </c>
      <c r="K31" s="4">
        <f>(5.69+5.69+5.69)/3</f>
        <v>5.69</v>
      </c>
      <c r="L31" s="4">
        <v>48</v>
      </c>
      <c r="M31" s="4">
        <v>18.100000000000001</v>
      </c>
      <c r="N31" s="4">
        <v>129</v>
      </c>
      <c r="O31" s="4">
        <v>4.63</v>
      </c>
      <c r="P31" s="4">
        <v>66.099999999999994</v>
      </c>
      <c r="Q31" s="4">
        <v>11.2</v>
      </c>
      <c r="R31" s="4">
        <v>10.7</v>
      </c>
    </row>
    <row r="32" spans="1:18">
      <c r="A32" s="4">
        <v>29</v>
      </c>
      <c r="B32" s="5" t="s">
        <v>74</v>
      </c>
      <c r="C32" s="5" t="s">
        <v>75</v>
      </c>
      <c r="D32" s="5">
        <v>570764.42000000004</v>
      </c>
      <c r="E32" s="5">
        <v>245109.52</v>
      </c>
      <c r="F32" s="4" t="s">
        <v>21</v>
      </c>
      <c r="G32" s="5" t="s">
        <v>32</v>
      </c>
      <c r="H32" s="5" t="s">
        <v>76</v>
      </c>
      <c r="I32" s="6"/>
      <c r="J32" s="7">
        <v>29.98</v>
      </c>
      <c r="K32" s="12">
        <f>(5.37+5.34+5.37)/3</f>
        <v>5.36</v>
      </c>
      <c r="L32" s="4">
        <v>66</v>
      </c>
      <c r="M32" s="4">
        <v>0.06</v>
      </c>
      <c r="N32" s="4">
        <v>62</v>
      </c>
      <c r="O32" s="4">
        <v>3.37</v>
      </c>
      <c r="P32" s="4">
        <v>44.8</v>
      </c>
      <c r="Q32" s="4">
        <v>3.9E-2</v>
      </c>
      <c r="R32" s="4">
        <v>0</v>
      </c>
    </row>
    <row r="33" spans="1:18">
      <c r="A33" s="4">
        <v>31</v>
      </c>
      <c r="B33" s="4" t="s">
        <v>77</v>
      </c>
      <c r="C33" s="5" t="s">
        <v>68</v>
      </c>
      <c r="D33" s="4">
        <v>547779.40756862308</v>
      </c>
      <c r="E33" s="4">
        <v>242387.1697849</v>
      </c>
      <c r="F33" s="4" t="s">
        <v>21</v>
      </c>
      <c r="G33" s="5" t="s">
        <v>22</v>
      </c>
      <c r="H33" s="5"/>
      <c r="I33" s="6"/>
      <c r="J33" s="7">
        <v>32.299999999999997</v>
      </c>
      <c r="K33" s="4">
        <v>6.8</v>
      </c>
      <c r="L33" s="4">
        <v>25</v>
      </c>
      <c r="M33" s="4">
        <v>6.3E-2</v>
      </c>
      <c r="N33" s="4">
        <v>73.5</v>
      </c>
      <c r="O33" s="4">
        <v>6.58</v>
      </c>
      <c r="P33" s="4"/>
      <c r="Q33" s="4">
        <v>0.40699999999999997</v>
      </c>
      <c r="R33" s="4">
        <v>0.3</v>
      </c>
    </row>
    <row r="34" spans="1:18" ht="43.5">
      <c r="A34" s="4">
        <v>32</v>
      </c>
      <c r="B34" s="4" t="s">
        <v>82</v>
      </c>
      <c r="C34" s="5" t="s">
        <v>70</v>
      </c>
      <c r="D34" s="4">
        <v>544307.13542585622</v>
      </c>
      <c r="E34" s="4">
        <v>240847.57140660001</v>
      </c>
      <c r="F34" s="4" t="s">
        <v>21</v>
      </c>
      <c r="G34" s="5" t="s">
        <v>22</v>
      </c>
      <c r="H34" s="5"/>
      <c r="I34" s="15" t="s">
        <v>85</v>
      </c>
      <c r="J34" s="7">
        <v>31.89</v>
      </c>
      <c r="K34" s="4">
        <v>7</v>
      </c>
      <c r="L34" s="4">
        <v>24</v>
      </c>
      <c r="M34" s="4">
        <v>0.51600000000000001</v>
      </c>
      <c r="N34" s="4">
        <v>35.9</v>
      </c>
      <c r="O34" s="4">
        <v>14.53</v>
      </c>
      <c r="P34" s="4">
        <v>198.3</v>
      </c>
      <c r="Q34" s="4">
        <v>0.33</v>
      </c>
      <c r="R34" s="4">
        <v>0.2</v>
      </c>
    </row>
    <row r="35" spans="1:18">
      <c r="A35" s="4">
        <v>33</v>
      </c>
      <c r="B35" s="4" t="s">
        <v>78</v>
      </c>
      <c r="C35" s="5" t="s">
        <v>72</v>
      </c>
      <c r="D35" s="4">
        <v>549962.38494740776</v>
      </c>
      <c r="E35" s="4">
        <v>238062.5734999</v>
      </c>
      <c r="F35" s="4" t="s">
        <v>21</v>
      </c>
      <c r="G35" s="5" t="s">
        <v>22</v>
      </c>
      <c r="H35" s="5"/>
      <c r="I35" s="6"/>
      <c r="J35" s="7"/>
      <c r="K35" s="4">
        <v>5.0999999999999996</v>
      </c>
      <c r="L35" s="4"/>
      <c r="M35" s="4"/>
      <c r="N35" s="4"/>
      <c r="O35" s="4"/>
      <c r="P35" s="4"/>
      <c r="Q35" s="4"/>
      <c r="R35" s="4"/>
    </row>
    <row r="36" spans="1:18">
      <c r="A36" s="4">
        <v>34</v>
      </c>
      <c r="B36" s="4" t="s">
        <v>79</v>
      </c>
      <c r="C36" s="5" t="s">
        <v>49</v>
      </c>
      <c r="D36" s="4">
        <v>549349.77819263749</v>
      </c>
      <c r="E36" s="4">
        <v>237695.41803189999</v>
      </c>
      <c r="F36" s="4" t="s">
        <v>21</v>
      </c>
      <c r="G36" s="5" t="s">
        <v>22</v>
      </c>
      <c r="H36" s="5"/>
      <c r="I36" s="6"/>
      <c r="J36" s="7"/>
      <c r="K36" s="4">
        <v>4.5</v>
      </c>
      <c r="L36" s="4"/>
      <c r="M36" s="4"/>
      <c r="N36" s="4"/>
      <c r="O36" s="4"/>
      <c r="P36" s="4"/>
      <c r="Q36" s="4"/>
      <c r="R36" s="4"/>
    </row>
    <row r="37" spans="1:18">
      <c r="A37" s="4">
        <v>36</v>
      </c>
      <c r="B37" s="4" t="s">
        <v>80</v>
      </c>
      <c r="C37" s="5" t="s">
        <v>81</v>
      </c>
      <c r="D37" s="4">
        <v>550440.89963251201</v>
      </c>
      <c r="E37" s="4">
        <v>244269.26341670001</v>
      </c>
      <c r="F37" s="4" t="s">
        <v>21</v>
      </c>
      <c r="G37" s="5" t="s">
        <v>22</v>
      </c>
      <c r="H37" s="5"/>
      <c r="I37" s="6"/>
      <c r="J37" s="7"/>
      <c r="K37" s="4">
        <v>6.1</v>
      </c>
      <c r="L37" s="4"/>
      <c r="M37" s="4"/>
      <c r="N37" s="4"/>
      <c r="O37" s="4"/>
      <c r="P37" s="4"/>
      <c r="Q37" s="4"/>
      <c r="R37" s="4"/>
    </row>
    <row r="38" spans="1:18">
      <c r="A38" s="4">
        <v>38</v>
      </c>
      <c r="B38" s="4" t="s">
        <v>150</v>
      </c>
      <c r="C38" s="4"/>
      <c r="D38" s="4"/>
      <c r="E38" s="4"/>
      <c r="F38" s="4" t="s">
        <v>21</v>
      </c>
      <c r="G38" s="5" t="s">
        <v>22</v>
      </c>
      <c r="H38" s="5"/>
      <c r="I38" s="6"/>
      <c r="J38" s="4"/>
      <c r="K38" s="4">
        <f>(6.81+6.84+6.9)/3</f>
        <v>6.8499999999999988</v>
      </c>
      <c r="L38" s="4"/>
      <c r="M38" s="4"/>
      <c r="N38" s="4"/>
      <c r="O38" s="4"/>
      <c r="P38" s="4"/>
      <c r="Q38" s="4"/>
      <c r="R38" s="4"/>
    </row>
  </sheetData>
  <mergeCells count="1">
    <mergeCell ref="B1:I1"/>
  </mergeCells>
  <phoneticPr fontId="2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0708-9647-413C-8787-4C0F7105231F}">
  <dimension ref="A1:Q36"/>
  <sheetViews>
    <sheetView tabSelected="1" workbookViewId="0">
      <selection activeCell="J16" sqref="J16"/>
    </sheetView>
  </sheetViews>
  <sheetFormatPr defaultRowHeight="14.5"/>
  <sheetData>
    <row r="1" spans="1:17" ht="15" thickBot="1">
      <c r="A1" s="1" t="s">
        <v>1</v>
      </c>
      <c r="B1" s="1" t="s">
        <v>2</v>
      </c>
      <c r="C1" s="1" t="s">
        <v>14</v>
      </c>
      <c r="D1" s="2" t="s">
        <v>7</v>
      </c>
    </row>
    <row r="2" spans="1:17" ht="15" thickBot="1">
      <c r="A2" s="4">
        <v>2</v>
      </c>
      <c r="B2" s="5" t="s">
        <v>23</v>
      </c>
      <c r="C2" s="4">
        <f>(318+297)/2</f>
        <v>307.5</v>
      </c>
      <c r="D2" s="5" t="s">
        <v>32</v>
      </c>
      <c r="G2" s="35" t="s">
        <v>88</v>
      </c>
      <c r="H2" s="33" t="s">
        <v>89</v>
      </c>
      <c r="I2" s="34"/>
      <c r="J2" s="33" t="s">
        <v>90</v>
      </c>
      <c r="K2" s="34"/>
      <c r="M2" s="35" t="s">
        <v>88</v>
      </c>
      <c r="N2" s="33" t="s">
        <v>89</v>
      </c>
      <c r="O2" s="34"/>
      <c r="P2" s="33" t="s">
        <v>90</v>
      </c>
      <c r="Q2" s="34"/>
    </row>
    <row r="3" spans="1:17" ht="15" thickBot="1">
      <c r="A3" s="4">
        <v>3</v>
      </c>
      <c r="B3" s="5" t="s">
        <v>20</v>
      </c>
      <c r="C3" s="4">
        <f>(323+270)/2</f>
        <v>296.5</v>
      </c>
      <c r="D3" s="5" t="s">
        <v>32</v>
      </c>
      <c r="G3" s="36"/>
      <c r="H3" s="24" t="s">
        <v>91</v>
      </c>
      <c r="I3" s="24" t="s">
        <v>92</v>
      </c>
      <c r="J3" s="24" t="s">
        <v>91</v>
      </c>
      <c r="K3" s="24" t="s">
        <v>92</v>
      </c>
      <c r="M3" s="36"/>
      <c r="N3" s="24" t="s">
        <v>91</v>
      </c>
      <c r="O3" s="24" t="s">
        <v>92</v>
      </c>
      <c r="P3" s="24" t="s">
        <v>91</v>
      </c>
      <c r="Q3" s="24" t="s">
        <v>92</v>
      </c>
    </row>
    <row r="4" spans="1:17" ht="15" thickBot="1">
      <c r="A4" s="4">
        <v>4</v>
      </c>
      <c r="B4" s="5" t="s">
        <v>26</v>
      </c>
      <c r="C4" s="4">
        <v>38.1</v>
      </c>
      <c r="D4" s="5" t="s">
        <v>32</v>
      </c>
      <c r="G4" s="17" t="s">
        <v>93</v>
      </c>
      <c r="H4" s="17">
        <v>24</v>
      </c>
      <c r="I4" s="17"/>
      <c r="J4" s="17">
        <v>14</v>
      </c>
      <c r="K4" s="16"/>
      <c r="M4" s="27" t="s">
        <v>93</v>
      </c>
      <c r="N4" s="22">
        <v>24</v>
      </c>
      <c r="O4" s="22">
        <v>20</v>
      </c>
      <c r="P4" s="22">
        <v>14</v>
      </c>
      <c r="Q4" s="22">
        <v>15</v>
      </c>
    </row>
    <row r="5" spans="1:17" ht="15" thickBot="1">
      <c r="A5" s="4">
        <v>6</v>
      </c>
      <c r="B5" s="5" t="s">
        <v>31</v>
      </c>
      <c r="C5" s="4">
        <v>131.5</v>
      </c>
      <c r="D5" s="5" t="s">
        <v>32</v>
      </c>
      <c r="G5" s="17" t="s">
        <v>94</v>
      </c>
      <c r="H5" s="17" t="s">
        <v>95</v>
      </c>
      <c r="I5" s="17"/>
      <c r="J5" s="17" t="s">
        <v>96</v>
      </c>
      <c r="K5" s="16"/>
      <c r="M5" s="27" t="s">
        <v>94</v>
      </c>
      <c r="N5" s="22" t="s">
        <v>95</v>
      </c>
      <c r="O5" s="22" t="s">
        <v>153</v>
      </c>
      <c r="P5" s="22" t="s">
        <v>96</v>
      </c>
      <c r="Q5" s="22" t="s">
        <v>151</v>
      </c>
    </row>
    <row r="6" spans="1:17" ht="15" thickBot="1">
      <c r="A6" s="4">
        <v>7</v>
      </c>
      <c r="B6" s="5" t="s">
        <v>34</v>
      </c>
      <c r="C6" s="4">
        <f>AVERAGE(272, 266)</f>
        <v>269</v>
      </c>
      <c r="D6" s="5" t="s">
        <v>32</v>
      </c>
      <c r="G6" s="17" t="s">
        <v>97</v>
      </c>
      <c r="H6" s="17" t="s">
        <v>98</v>
      </c>
      <c r="I6" s="17"/>
      <c r="J6" s="17" t="s">
        <v>99</v>
      </c>
      <c r="K6" s="16"/>
      <c r="M6" s="27" t="s">
        <v>97</v>
      </c>
      <c r="N6" t="str">
        <f>H6</f>
        <v>5.11+/-0.81</v>
      </c>
      <c r="O6" s="22" t="s">
        <v>156</v>
      </c>
      <c r="P6" s="22" t="s">
        <v>141</v>
      </c>
      <c r="Q6" s="22" t="s">
        <v>152</v>
      </c>
    </row>
    <row r="7" spans="1:17" ht="17" thickBot="1">
      <c r="A7" s="4">
        <v>13</v>
      </c>
      <c r="B7" s="5" t="s">
        <v>44</v>
      </c>
      <c r="C7" s="4">
        <v>146.5</v>
      </c>
      <c r="D7" s="5" t="s">
        <v>32</v>
      </c>
      <c r="G7" s="17" t="s">
        <v>100</v>
      </c>
      <c r="H7" s="17" t="s">
        <v>101</v>
      </c>
      <c r="I7" s="17"/>
      <c r="J7" s="17" t="s">
        <v>102</v>
      </c>
      <c r="K7" s="16"/>
      <c r="M7" s="27" t="s">
        <v>142</v>
      </c>
      <c r="N7" s="22" t="s">
        <v>101</v>
      </c>
      <c r="O7" s="22" t="s">
        <v>143</v>
      </c>
      <c r="P7" s="22" t="s">
        <v>102</v>
      </c>
      <c r="Q7" s="22" t="s">
        <v>144</v>
      </c>
    </row>
    <row r="8" spans="1:17" ht="17" thickBot="1">
      <c r="A8" s="4">
        <v>14</v>
      </c>
      <c r="B8" s="5" t="s">
        <v>29</v>
      </c>
      <c r="C8" s="4">
        <v>102</v>
      </c>
      <c r="D8" s="5" t="s">
        <v>32</v>
      </c>
      <c r="G8" s="17" t="s">
        <v>103</v>
      </c>
      <c r="H8" s="17" t="s">
        <v>104</v>
      </c>
      <c r="I8" s="17"/>
      <c r="J8" s="17" t="s">
        <v>105</v>
      </c>
      <c r="K8" s="16"/>
      <c r="M8" s="27" t="s">
        <v>145</v>
      </c>
      <c r="N8" s="22" t="s">
        <v>146</v>
      </c>
      <c r="O8" s="22" t="s">
        <v>143</v>
      </c>
      <c r="P8" s="22" t="s">
        <v>147</v>
      </c>
      <c r="Q8" s="22" t="s">
        <v>144</v>
      </c>
    </row>
    <row r="9" spans="1:17" ht="15" thickBot="1">
      <c r="A9" s="4">
        <v>17</v>
      </c>
      <c r="B9" s="5" t="s">
        <v>52</v>
      </c>
      <c r="C9" s="14">
        <v>1.1599999999999999</v>
      </c>
      <c r="D9" s="5" t="s">
        <v>32</v>
      </c>
      <c r="G9" s="17" t="s">
        <v>106</v>
      </c>
      <c r="H9" s="17"/>
      <c r="I9" s="17"/>
      <c r="J9" s="4" t="s">
        <v>112</v>
      </c>
      <c r="K9" s="17" t="s">
        <v>110</v>
      </c>
      <c r="M9" s="27" t="s">
        <v>106</v>
      </c>
      <c r="N9" s="22" t="s">
        <v>143</v>
      </c>
      <c r="O9" s="28" t="s">
        <v>112</v>
      </c>
      <c r="P9" s="22"/>
      <c r="Q9" s="28" t="s">
        <v>154</v>
      </c>
    </row>
    <row r="10" spans="1:17" ht="15" thickBot="1">
      <c r="A10" s="4">
        <v>20</v>
      </c>
      <c r="B10" s="5" t="s">
        <v>60</v>
      </c>
      <c r="C10" s="4">
        <v>34</v>
      </c>
      <c r="D10" s="5" t="s">
        <v>32</v>
      </c>
      <c r="G10" s="17" t="s">
        <v>107</v>
      </c>
      <c r="H10" s="17"/>
      <c r="I10" s="17"/>
      <c r="J10" s="4" t="s">
        <v>113</v>
      </c>
      <c r="K10" s="17" t="s">
        <v>111</v>
      </c>
      <c r="M10" s="27" t="s">
        <v>107</v>
      </c>
      <c r="N10" s="22" t="s">
        <v>143</v>
      </c>
      <c r="O10" s="28" t="s">
        <v>158</v>
      </c>
      <c r="P10" s="22"/>
      <c r="Q10" s="28" t="s">
        <v>155</v>
      </c>
    </row>
    <row r="11" spans="1:17" ht="15" thickBot="1">
      <c r="A11" s="4">
        <v>21</v>
      </c>
      <c r="B11" s="5" t="s">
        <v>62</v>
      </c>
      <c r="C11" s="4">
        <v>249</v>
      </c>
      <c r="D11" s="5" t="s">
        <v>32</v>
      </c>
      <c r="G11" s="17" t="s">
        <v>108</v>
      </c>
      <c r="H11" s="17"/>
      <c r="I11" s="17"/>
      <c r="J11" s="17"/>
      <c r="K11" s="4"/>
      <c r="M11" s="27" t="s">
        <v>148</v>
      </c>
      <c r="N11" s="22"/>
      <c r="O11" s="22"/>
      <c r="P11" s="22"/>
      <c r="Q11" s="22"/>
    </row>
    <row r="12" spans="1:17" ht="15" thickBot="1">
      <c r="A12" s="4">
        <v>23</v>
      </c>
      <c r="B12" s="5" t="s">
        <v>63</v>
      </c>
      <c r="C12" s="4">
        <v>52.4</v>
      </c>
      <c r="D12" s="5" t="s">
        <v>32</v>
      </c>
      <c r="G12" s="17" t="s">
        <v>109</v>
      </c>
      <c r="H12" s="17"/>
      <c r="I12" s="17"/>
      <c r="J12" s="17"/>
      <c r="K12" s="4"/>
      <c r="M12" s="27" t="s">
        <v>109</v>
      </c>
      <c r="N12" s="22"/>
      <c r="O12" s="22"/>
      <c r="P12" s="22"/>
      <c r="Q12" s="22"/>
    </row>
    <row r="13" spans="1:17">
      <c r="A13" s="4">
        <v>26</v>
      </c>
      <c r="B13" s="5" t="s">
        <v>68</v>
      </c>
      <c r="C13" s="4">
        <v>33.299999999999997</v>
      </c>
      <c r="D13" s="5" t="s">
        <v>32</v>
      </c>
    </row>
    <row r="14" spans="1:17">
      <c r="A14" s="4">
        <v>27</v>
      </c>
      <c r="B14" s="5" t="s">
        <v>70</v>
      </c>
      <c r="C14" s="4">
        <v>556</v>
      </c>
      <c r="D14" s="5" t="s">
        <v>32</v>
      </c>
    </row>
    <row r="15" spans="1:17">
      <c r="A15" s="4">
        <v>28</v>
      </c>
      <c r="B15" s="5" t="s">
        <v>72</v>
      </c>
      <c r="C15" s="4">
        <v>129</v>
      </c>
      <c r="D15" s="5" t="s">
        <v>32</v>
      </c>
      <c r="G15">
        <f>MIN(C2:C16)</f>
        <v>1.1599999999999999</v>
      </c>
      <c r="H15">
        <f>MIN(C17:C32)</f>
        <v>0</v>
      </c>
    </row>
    <row r="16" spans="1:17">
      <c r="A16" s="4">
        <v>29</v>
      </c>
      <c r="B16" s="5" t="s">
        <v>74</v>
      </c>
      <c r="C16" s="4">
        <v>62</v>
      </c>
      <c r="D16" s="5" t="s">
        <v>32</v>
      </c>
      <c r="G16">
        <f>MAX(C2:C16)</f>
        <v>556</v>
      </c>
      <c r="H16">
        <f>MAX(C18:C32)</f>
        <v>334</v>
      </c>
      <c r="N16">
        <f>6.49-5.5</f>
        <v>0.99000000000000021</v>
      </c>
    </row>
    <row r="17" spans="1:8">
      <c r="A17" s="4">
        <v>1</v>
      </c>
      <c r="B17" s="5" t="s">
        <v>19</v>
      </c>
      <c r="C17" s="4"/>
      <c r="D17" s="5" t="s">
        <v>22</v>
      </c>
      <c r="G17">
        <f>AVERAGE(C2:C16)</f>
        <v>160.53066666666666</v>
      </c>
      <c r="H17">
        <f>AVERAGE(C18:C32)</f>
        <v>85.805714285714288</v>
      </c>
    </row>
    <row r="18" spans="1:8">
      <c r="A18" s="4">
        <v>5</v>
      </c>
      <c r="B18" s="5" t="s">
        <v>28</v>
      </c>
      <c r="C18" s="4">
        <v>334</v>
      </c>
      <c r="D18" s="5" t="s">
        <v>22</v>
      </c>
      <c r="G18">
        <f>STDEV(C2:C16)</f>
        <v>150.12427744404047</v>
      </c>
      <c r="H18">
        <f>STDEV(C9:C31)</f>
        <v>136.5828440404961</v>
      </c>
    </row>
    <row r="19" spans="1:8">
      <c r="A19" s="4">
        <v>8</v>
      </c>
      <c r="B19" s="5" t="s">
        <v>36</v>
      </c>
      <c r="C19" s="4">
        <v>64.349999999999994</v>
      </c>
      <c r="D19" s="5" t="s">
        <v>22</v>
      </c>
    </row>
    <row r="20" spans="1:8">
      <c r="A20" s="4">
        <v>9</v>
      </c>
      <c r="B20" s="5" t="s">
        <v>38</v>
      </c>
      <c r="C20" s="7">
        <v>32.1</v>
      </c>
      <c r="D20" s="5" t="s">
        <v>22</v>
      </c>
    </row>
    <row r="21" spans="1:8">
      <c r="A21" s="4">
        <v>10</v>
      </c>
      <c r="B21" s="5" t="s">
        <v>39</v>
      </c>
      <c r="C21" s="4">
        <v>15.2</v>
      </c>
      <c r="D21" s="5" t="s">
        <v>22</v>
      </c>
    </row>
    <row r="22" spans="1:8">
      <c r="A22" s="4">
        <v>11</v>
      </c>
      <c r="B22" s="5" t="s">
        <v>35</v>
      </c>
      <c r="C22" s="4">
        <f>AVERAGE(224,241)</f>
        <v>232.5</v>
      </c>
      <c r="D22" s="5" t="s">
        <v>22</v>
      </c>
    </row>
    <row r="23" spans="1:8">
      <c r="A23" s="4">
        <v>12</v>
      </c>
      <c r="B23" s="5" t="s">
        <v>42</v>
      </c>
      <c r="C23" s="4"/>
      <c r="D23" s="5" t="s">
        <v>22</v>
      </c>
    </row>
    <row r="24" spans="1:8">
      <c r="A24" s="4">
        <v>15</v>
      </c>
      <c r="B24" s="5" t="s">
        <v>46</v>
      </c>
      <c r="C24" s="4">
        <v>54.6</v>
      </c>
      <c r="D24" s="5" t="s">
        <v>22</v>
      </c>
    </row>
    <row r="25" spans="1:8">
      <c r="A25" s="4">
        <v>16</v>
      </c>
      <c r="B25" s="5" t="s">
        <v>49</v>
      </c>
      <c r="C25" s="4">
        <v>128</v>
      </c>
      <c r="D25" s="5" t="s">
        <v>22</v>
      </c>
    </row>
    <row r="26" spans="1:8">
      <c r="A26" s="4">
        <v>18</v>
      </c>
      <c r="B26" s="5" t="s">
        <v>55</v>
      </c>
      <c r="C26" s="4">
        <v>0</v>
      </c>
      <c r="D26" s="5" t="s">
        <v>22</v>
      </c>
    </row>
    <row r="27" spans="1:8">
      <c r="A27" s="4">
        <v>19</v>
      </c>
      <c r="B27" s="5" t="s">
        <v>58</v>
      </c>
      <c r="C27" s="4">
        <v>164</v>
      </c>
      <c r="D27" s="5" t="s">
        <v>22</v>
      </c>
    </row>
    <row r="28" spans="1:8">
      <c r="A28" s="4">
        <v>22</v>
      </c>
      <c r="B28" s="5" t="s">
        <v>27</v>
      </c>
      <c r="C28" s="4">
        <v>27.7</v>
      </c>
      <c r="D28" s="5" t="s">
        <v>22</v>
      </c>
    </row>
    <row r="29" spans="1:8">
      <c r="A29" s="4">
        <v>24</v>
      </c>
      <c r="B29" s="5" t="s">
        <v>64</v>
      </c>
      <c r="C29" s="4">
        <v>8.09</v>
      </c>
      <c r="D29" s="5" t="s">
        <v>22</v>
      </c>
    </row>
    <row r="30" spans="1:8">
      <c r="A30" s="4">
        <v>25</v>
      </c>
      <c r="B30" s="5" t="s">
        <v>66</v>
      </c>
      <c r="C30" s="4">
        <v>31.34</v>
      </c>
      <c r="D30" s="5" t="s">
        <v>22</v>
      </c>
    </row>
    <row r="31" spans="1:8">
      <c r="A31" s="4">
        <v>31</v>
      </c>
      <c r="B31" s="4" t="s">
        <v>77</v>
      </c>
      <c r="C31" s="4">
        <v>73.5</v>
      </c>
      <c r="D31" s="5" t="s">
        <v>22</v>
      </c>
    </row>
    <row r="32" spans="1:8">
      <c r="A32" s="4">
        <v>32</v>
      </c>
      <c r="B32" s="4" t="s">
        <v>82</v>
      </c>
      <c r="C32" s="4">
        <v>35.9</v>
      </c>
      <c r="D32" s="5" t="s">
        <v>22</v>
      </c>
    </row>
    <row r="33" spans="1:4">
      <c r="A33" s="4">
        <v>33</v>
      </c>
      <c r="B33" s="4" t="s">
        <v>78</v>
      </c>
      <c r="C33" s="4"/>
      <c r="D33" s="5" t="s">
        <v>22</v>
      </c>
    </row>
    <row r="34" spans="1:4">
      <c r="A34" s="4">
        <v>34</v>
      </c>
      <c r="B34" s="4" t="s">
        <v>79</v>
      </c>
      <c r="C34" s="4"/>
      <c r="D34" s="5" t="s">
        <v>22</v>
      </c>
    </row>
    <row r="35" spans="1:4">
      <c r="A35" s="4">
        <v>36</v>
      </c>
      <c r="B35" s="4" t="s">
        <v>80</v>
      </c>
      <c r="C35" s="4"/>
      <c r="D35" s="5" t="s">
        <v>22</v>
      </c>
    </row>
    <row r="36" spans="1:4">
      <c r="A36" s="4">
        <v>38</v>
      </c>
      <c r="B36" s="4" t="s">
        <v>150</v>
      </c>
      <c r="C36" s="4"/>
      <c r="D36" s="5" t="s">
        <v>22</v>
      </c>
    </row>
  </sheetData>
  <sortState xmlns:xlrd2="http://schemas.microsoft.com/office/spreadsheetml/2017/richdata2" ref="A2:D36">
    <sortCondition ref="D2:D36"/>
  </sortState>
  <mergeCells count="6">
    <mergeCell ref="P2:Q2"/>
    <mergeCell ref="G2:G3"/>
    <mergeCell ref="H2:I2"/>
    <mergeCell ref="J2:K2"/>
    <mergeCell ref="M2:M3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1A6E-5766-4EDD-9656-6D89E3EB4AEE}">
  <dimension ref="A1:Q88"/>
  <sheetViews>
    <sheetView workbookViewId="0">
      <selection activeCell="P13" sqref="P13"/>
    </sheetView>
  </sheetViews>
  <sheetFormatPr defaultRowHeight="14.5"/>
  <cols>
    <col min="16" max="16" width="12" customWidth="1"/>
  </cols>
  <sheetData>
    <row r="1" spans="1:17" ht="29.5" thickBot="1">
      <c r="A1" s="1" t="s">
        <v>114</v>
      </c>
      <c r="B1" t="s">
        <v>115</v>
      </c>
      <c r="C1" t="s">
        <v>14</v>
      </c>
      <c r="D1" t="s">
        <v>116</v>
      </c>
      <c r="F1" s="1" t="s">
        <v>2</v>
      </c>
      <c r="H1" s="18" t="s">
        <v>117</v>
      </c>
      <c r="I1" s="19" t="s">
        <v>118</v>
      </c>
      <c r="J1" s="20" t="s">
        <v>119</v>
      </c>
      <c r="K1" s="19" t="s">
        <v>120</v>
      </c>
      <c r="L1" s="19" t="s">
        <v>121</v>
      </c>
      <c r="M1" s="19" t="s">
        <v>122</v>
      </c>
      <c r="N1" s="19" t="s">
        <v>123</v>
      </c>
      <c r="O1" s="19" t="s">
        <v>124</v>
      </c>
      <c r="P1" s="19" t="s">
        <v>125</v>
      </c>
      <c r="Q1" s="19" t="s">
        <v>126</v>
      </c>
    </row>
    <row r="2" spans="1:17" ht="15" thickBot="1">
      <c r="A2" s="4">
        <v>2</v>
      </c>
      <c r="B2">
        <v>1</v>
      </c>
      <c r="C2" s="4">
        <f>(318+297)/2</f>
        <v>307.5</v>
      </c>
      <c r="D2">
        <v>1</v>
      </c>
      <c r="F2" s="5" t="s">
        <v>23</v>
      </c>
      <c r="H2" s="35" t="s">
        <v>127</v>
      </c>
      <c r="I2" s="35" t="s">
        <v>11</v>
      </c>
      <c r="J2" s="21">
        <v>1</v>
      </c>
      <c r="K2" s="22" t="s">
        <v>128</v>
      </c>
      <c r="L2" s="22" t="s">
        <v>114</v>
      </c>
      <c r="M2" s="23">
        <v>4</v>
      </c>
      <c r="N2" s="23" t="s">
        <v>129</v>
      </c>
      <c r="O2" s="23">
        <v>-28.448</v>
      </c>
      <c r="P2" s="22" t="s">
        <v>130</v>
      </c>
      <c r="Q2" s="22" t="s">
        <v>131</v>
      </c>
    </row>
    <row r="3" spans="1:17" ht="15" thickBot="1">
      <c r="A3" s="4">
        <v>2</v>
      </c>
      <c r="B3">
        <v>2</v>
      </c>
      <c r="C3" s="4">
        <f t="shared" ref="C3:C4" si="0">(318+297)/2</f>
        <v>307.5</v>
      </c>
      <c r="D3">
        <v>1</v>
      </c>
      <c r="F3" s="5" t="s">
        <v>20</v>
      </c>
      <c r="H3" s="38"/>
      <c r="I3" s="38"/>
      <c r="J3" s="21">
        <v>2</v>
      </c>
      <c r="K3" s="22" t="s">
        <v>132</v>
      </c>
      <c r="L3" s="22" t="s">
        <v>133</v>
      </c>
      <c r="M3" s="23">
        <v>5</v>
      </c>
      <c r="N3" s="23">
        <v>289.21499999999997</v>
      </c>
      <c r="O3" s="23">
        <v>-139.608</v>
      </c>
      <c r="P3" s="24" t="s">
        <v>134</v>
      </c>
      <c r="Q3" s="22" t="s">
        <v>131</v>
      </c>
    </row>
    <row r="4" spans="1:17" ht="15" thickBot="1">
      <c r="A4" s="4">
        <v>2</v>
      </c>
      <c r="B4">
        <v>3</v>
      </c>
      <c r="C4" s="4">
        <f t="shared" si="0"/>
        <v>307.5</v>
      </c>
      <c r="D4">
        <v>1</v>
      </c>
      <c r="F4" s="5" t="s">
        <v>26</v>
      </c>
      <c r="H4" s="38"/>
      <c r="I4" s="36"/>
      <c r="J4" s="21"/>
      <c r="K4" s="22" t="s">
        <v>135</v>
      </c>
      <c r="L4" s="22"/>
      <c r="M4" s="23">
        <v>3</v>
      </c>
      <c r="N4" s="23">
        <v>80.125</v>
      </c>
      <c r="O4" s="23">
        <v>-37.061999999999998</v>
      </c>
      <c r="P4" s="22" t="s">
        <v>136</v>
      </c>
      <c r="Q4" s="22" t="s">
        <v>136</v>
      </c>
    </row>
    <row r="5" spans="1:17" ht="15" thickBot="1">
      <c r="A5" s="4">
        <v>3</v>
      </c>
      <c r="B5">
        <v>1</v>
      </c>
      <c r="C5" s="4">
        <f>(323+270)/2</f>
        <v>296.5</v>
      </c>
      <c r="D5">
        <v>1</v>
      </c>
      <c r="F5" s="5" t="s">
        <v>31</v>
      </c>
      <c r="H5" s="38"/>
      <c r="I5" s="35" t="s">
        <v>137</v>
      </c>
      <c r="J5" s="21">
        <v>1</v>
      </c>
      <c r="K5" s="22" t="s">
        <v>128</v>
      </c>
      <c r="L5" s="22" t="s">
        <v>114</v>
      </c>
      <c r="M5" s="23">
        <v>3</v>
      </c>
      <c r="N5" s="23" t="s">
        <v>138</v>
      </c>
      <c r="O5" s="23">
        <v>1248.758</v>
      </c>
      <c r="P5" s="24" t="s">
        <v>139</v>
      </c>
      <c r="Q5" s="22" t="s">
        <v>131</v>
      </c>
    </row>
    <row r="6" spans="1:17" ht="15" thickBot="1">
      <c r="A6" s="4">
        <v>3</v>
      </c>
      <c r="B6">
        <v>2</v>
      </c>
      <c r="C6" s="4">
        <f t="shared" ref="C6:C7" si="1">(323+270)/2</f>
        <v>296.5</v>
      </c>
      <c r="D6">
        <v>1</v>
      </c>
      <c r="F6" s="5" t="s">
        <v>34</v>
      </c>
      <c r="H6" s="38"/>
      <c r="I6" s="38"/>
      <c r="J6" s="21">
        <v>2</v>
      </c>
      <c r="K6" s="22" t="s">
        <v>132</v>
      </c>
      <c r="L6" s="22" t="s">
        <v>133</v>
      </c>
      <c r="M6" s="23">
        <v>5</v>
      </c>
      <c r="N6" s="23">
        <v>290.82</v>
      </c>
      <c r="O6" s="23">
        <v>-140.41</v>
      </c>
      <c r="P6" s="22" t="s">
        <v>134</v>
      </c>
      <c r="Q6" s="22" t="s">
        <v>131</v>
      </c>
    </row>
    <row r="7" spans="1:17" ht="15" thickBot="1">
      <c r="A7" s="4">
        <v>3</v>
      </c>
      <c r="B7">
        <v>3</v>
      </c>
      <c r="C7" s="4">
        <f t="shared" si="1"/>
        <v>296.5</v>
      </c>
      <c r="D7">
        <v>1</v>
      </c>
      <c r="F7" s="5" t="s">
        <v>44</v>
      </c>
      <c r="H7" s="39"/>
      <c r="I7" s="39"/>
      <c r="J7" s="21"/>
      <c r="K7" s="22" t="s">
        <v>135</v>
      </c>
      <c r="L7" s="22"/>
      <c r="M7" s="23">
        <v>2</v>
      </c>
      <c r="N7" s="23">
        <v>-2483.0169999999998</v>
      </c>
      <c r="O7" s="23">
        <v>1452.4059999999999</v>
      </c>
      <c r="P7" s="22" t="s">
        <v>136</v>
      </c>
      <c r="Q7" s="22" t="s">
        <v>136</v>
      </c>
    </row>
    <row r="8" spans="1:17" ht="15" thickBot="1">
      <c r="A8" s="4">
        <v>6</v>
      </c>
      <c r="B8">
        <v>1</v>
      </c>
      <c r="C8" s="4">
        <v>131.5</v>
      </c>
      <c r="D8">
        <v>1</v>
      </c>
      <c r="F8" s="5" t="s">
        <v>29</v>
      </c>
      <c r="H8" s="40" t="s">
        <v>92</v>
      </c>
      <c r="I8" s="40" t="s">
        <v>11</v>
      </c>
      <c r="J8" s="21">
        <v>1</v>
      </c>
      <c r="K8" s="22" t="s">
        <v>128</v>
      </c>
      <c r="L8" s="22" t="str">
        <f>L5</f>
        <v>Location</v>
      </c>
      <c r="M8" s="22">
        <v>4</v>
      </c>
      <c r="N8" s="22">
        <v>-243.79560000000001</v>
      </c>
      <c r="O8" s="22">
        <v>125.89781000000001</v>
      </c>
      <c r="P8" s="22" t="s">
        <v>157</v>
      </c>
      <c r="Q8" s="22" t="s">
        <v>131</v>
      </c>
    </row>
    <row r="9" spans="1:17" ht="15" thickBot="1">
      <c r="A9" s="4">
        <v>6</v>
      </c>
      <c r="B9">
        <v>2</v>
      </c>
      <c r="C9" s="4">
        <v>131.5</v>
      </c>
      <c r="D9">
        <v>1</v>
      </c>
      <c r="F9" s="5" t="s">
        <v>52</v>
      </c>
      <c r="H9" s="38"/>
      <c r="I9" s="38"/>
      <c r="J9" s="21">
        <v>2</v>
      </c>
      <c r="K9" s="22" t="s">
        <v>132</v>
      </c>
      <c r="L9" s="22" t="str">
        <f>L6</f>
        <v>Replication</v>
      </c>
      <c r="M9" s="22">
        <v>5</v>
      </c>
      <c r="N9" s="22">
        <v>381.84289999999999</v>
      </c>
      <c r="O9" s="22">
        <v>-185.92146</v>
      </c>
      <c r="P9" s="22" t="s">
        <v>134</v>
      </c>
      <c r="Q9" s="22" t="s">
        <v>131</v>
      </c>
    </row>
    <row r="10" spans="1:17" ht="15" thickBot="1">
      <c r="A10" s="4">
        <v>6</v>
      </c>
      <c r="B10">
        <v>3</v>
      </c>
      <c r="C10" s="4">
        <v>131.5</v>
      </c>
      <c r="D10">
        <v>1</v>
      </c>
      <c r="F10" s="5" t="s">
        <v>60</v>
      </c>
      <c r="H10" s="38"/>
      <c r="I10" s="39"/>
      <c r="J10" s="21"/>
      <c r="K10" s="22" t="s">
        <v>135</v>
      </c>
      <c r="L10" s="26"/>
      <c r="M10" s="26">
        <v>3</v>
      </c>
      <c r="N10" s="26">
        <v>-238.2893</v>
      </c>
      <c r="O10" s="26">
        <v>122.14464</v>
      </c>
      <c r="P10" s="26" t="s">
        <v>136</v>
      </c>
      <c r="Q10" s="26" t="s">
        <v>136</v>
      </c>
    </row>
    <row r="11" spans="1:17" ht="15" thickBot="1">
      <c r="A11" s="4">
        <v>20</v>
      </c>
      <c r="B11">
        <v>1</v>
      </c>
      <c r="C11" s="4">
        <v>34</v>
      </c>
      <c r="D11">
        <v>1</v>
      </c>
      <c r="F11" s="5" t="s">
        <v>62</v>
      </c>
      <c r="H11" s="38"/>
      <c r="I11" s="40" t="s">
        <v>14</v>
      </c>
      <c r="J11" s="21">
        <v>1</v>
      </c>
      <c r="K11" s="25" t="s">
        <v>128</v>
      </c>
      <c r="L11" s="4" t="s">
        <v>114</v>
      </c>
      <c r="M11" s="4">
        <v>4</v>
      </c>
      <c r="N11" s="4">
        <v>-1443.7929999999999</v>
      </c>
      <c r="O11" s="4">
        <v>725.89639999999997</v>
      </c>
      <c r="P11" s="4" t="s">
        <v>134</v>
      </c>
      <c r="Q11" s="4" t="s">
        <v>131</v>
      </c>
    </row>
    <row r="12" spans="1:17" ht="15" thickBot="1">
      <c r="A12" s="4">
        <v>20</v>
      </c>
      <c r="B12">
        <v>2</v>
      </c>
      <c r="C12" s="4">
        <v>34</v>
      </c>
      <c r="D12">
        <v>1</v>
      </c>
      <c r="F12" s="5" t="s">
        <v>63</v>
      </c>
      <c r="H12" s="38"/>
      <c r="I12" s="38"/>
      <c r="J12" s="21">
        <v>2</v>
      </c>
      <c r="K12" s="25" t="s">
        <v>132</v>
      </c>
      <c r="L12" s="4" t="s">
        <v>133</v>
      </c>
      <c r="M12" s="4">
        <v>5</v>
      </c>
      <c r="N12" s="4">
        <v>1090.3969999999999</v>
      </c>
      <c r="O12" s="4">
        <v>-540.19825000000003</v>
      </c>
      <c r="P12" s="4" t="s">
        <v>134</v>
      </c>
      <c r="Q12" s="4" t="s">
        <v>131</v>
      </c>
    </row>
    <row r="13" spans="1:17" ht="15" thickBot="1">
      <c r="A13" s="4">
        <v>20</v>
      </c>
      <c r="B13">
        <v>3</v>
      </c>
      <c r="C13" s="4">
        <v>34</v>
      </c>
      <c r="D13">
        <v>1</v>
      </c>
      <c r="F13" s="5" t="s">
        <v>68</v>
      </c>
      <c r="H13" s="38"/>
      <c r="I13" s="39"/>
      <c r="J13" s="21"/>
      <c r="K13" s="25" t="s">
        <v>135</v>
      </c>
      <c r="L13" s="4"/>
      <c r="M13" s="4">
        <v>3</v>
      </c>
      <c r="N13" s="4">
        <v>-1503.377</v>
      </c>
      <c r="O13" s="4">
        <v>754.68825000000004</v>
      </c>
      <c r="P13" s="4"/>
      <c r="Q13" s="4"/>
    </row>
    <row r="14" spans="1:17" ht="15" thickBot="1">
      <c r="A14" s="4">
        <v>21</v>
      </c>
      <c r="B14">
        <v>1</v>
      </c>
      <c r="C14" s="4">
        <v>249</v>
      </c>
      <c r="D14">
        <v>1</v>
      </c>
      <c r="F14" s="5" t="s">
        <v>70</v>
      </c>
      <c r="H14" s="38"/>
      <c r="I14" s="40" t="s">
        <v>140</v>
      </c>
      <c r="J14" s="21">
        <v>1</v>
      </c>
      <c r="K14" s="22" t="s">
        <v>128</v>
      </c>
      <c r="L14" s="22"/>
      <c r="M14" s="22"/>
      <c r="N14" s="22"/>
      <c r="O14" s="22"/>
      <c r="P14" s="22"/>
      <c r="Q14" s="22"/>
    </row>
    <row r="15" spans="1:17" ht="15" thickBot="1">
      <c r="A15" s="4">
        <v>21</v>
      </c>
      <c r="B15">
        <v>2</v>
      </c>
      <c r="C15" s="4">
        <v>249</v>
      </c>
      <c r="D15">
        <v>1</v>
      </c>
      <c r="F15" s="5" t="s">
        <v>72</v>
      </c>
      <c r="H15" s="38"/>
      <c r="I15" s="38"/>
      <c r="J15" s="21">
        <v>2</v>
      </c>
      <c r="K15" s="22" t="s">
        <v>132</v>
      </c>
      <c r="L15" s="22"/>
      <c r="M15" s="22"/>
      <c r="N15" s="22"/>
      <c r="O15" s="22"/>
      <c r="P15" s="22"/>
      <c r="Q15" s="22"/>
    </row>
    <row r="16" spans="1:17" ht="15" thickBot="1">
      <c r="A16" s="4">
        <v>21</v>
      </c>
      <c r="B16">
        <v>3</v>
      </c>
      <c r="C16" s="4">
        <v>249</v>
      </c>
      <c r="D16">
        <v>1</v>
      </c>
      <c r="F16" s="5" t="s">
        <v>74</v>
      </c>
      <c r="H16" s="36"/>
      <c r="I16" s="36"/>
      <c r="J16" s="21"/>
      <c r="K16" s="22" t="s">
        <v>135</v>
      </c>
      <c r="L16" s="22"/>
      <c r="M16" s="22"/>
      <c r="N16" s="22"/>
      <c r="O16" s="22"/>
      <c r="P16" s="22"/>
      <c r="Q16" s="22"/>
    </row>
    <row r="17" spans="1:13">
      <c r="A17" s="4">
        <v>27</v>
      </c>
      <c r="B17">
        <v>1</v>
      </c>
      <c r="C17" s="4">
        <v>556</v>
      </c>
      <c r="D17">
        <v>1</v>
      </c>
      <c r="F17" s="5" t="s">
        <v>19</v>
      </c>
    </row>
    <row r="18" spans="1:13">
      <c r="A18" s="4">
        <v>27</v>
      </c>
      <c r="B18">
        <v>2</v>
      </c>
      <c r="C18" s="4">
        <v>556</v>
      </c>
      <c r="D18">
        <v>1</v>
      </c>
      <c r="F18" s="5" t="s">
        <v>28</v>
      </c>
      <c r="M18">
        <f>7.38-6.62</f>
        <v>0.75999999999999979</v>
      </c>
    </row>
    <row r="19" spans="1:13">
      <c r="A19" s="4">
        <v>27</v>
      </c>
      <c r="B19">
        <v>3</v>
      </c>
      <c r="C19" s="4">
        <v>556</v>
      </c>
      <c r="D19">
        <v>1</v>
      </c>
      <c r="F19" s="5" t="s">
        <v>36</v>
      </c>
    </row>
    <row r="20" spans="1:13">
      <c r="A20" s="4">
        <v>28</v>
      </c>
      <c r="B20">
        <v>1</v>
      </c>
      <c r="C20" s="14">
        <v>129</v>
      </c>
      <c r="D20">
        <v>1</v>
      </c>
      <c r="F20" s="5" t="s">
        <v>38</v>
      </c>
    </row>
    <row r="21" spans="1:13">
      <c r="A21" s="4">
        <v>28</v>
      </c>
      <c r="B21">
        <v>2</v>
      </c>
      <c r="C21" s="14">
        <v>129</v>
      </c>
      <c r="D21">
        <v>1</v>
      </c>
      <c r="F21" s="5" t="s">
        <v>39</v>
      </c>
    </row>
    <row r="22" spans="1:13">
      <c r="A22" s="4">
        <v>28</v>
      </c>
      <c r="B22">
        <v>3</v>
      </c>
      <c r="C22" s="14">
        <v>129</v>
      </c>
      <c r="D22">
        <v>1</v>
      </c>
      <c r="F22" s="5" t="s">
        <v>35</v>
      </c>
    </row>
    <row r="23" spans="1:13">
      <c r="A23" s="4">
        <v>4</v>
      </c>
      <c r="B23">
        <v>1</v>
      </c>
      <c r="C23" s="4">
        <v>38.1</v>
      </c>
      <c r="D23" s="13">
        <v>1</v>
      </c>
      <c r="F23" s="5" t="s">
        <v>42</v>
      </c>
    </row>
    <row r="24" spans="1:13">
      <c r="A24" s="4">
        <v>4</v>
      </c>
      <c r="B24">
        <v>2</v>
      </c>
      <c r="C24" s="4">
        <v>38.1</v>
      </c>
      <c r="D24" s="13">
        <v>1</v>
      </c>
      <c r="F24" s="5" t="s">
        <v>46</v>
      </c>
    </row>
    <row r="25" spans="1:13">
      <c r="A25" s="4">
        <v>4</v>
      </c>
      <c r="B25">
        <v>3</v>
      </c>
      <c r="C25" s="4">
        <v>38.1</v>
      </c>
      <c r="D25" s="13">
        <v>1</v>
      </c>
      <c r="F25" s="5" t="s">
        <v>49</v>
      </c>
    </row>
    <row r="26" spans="1:13">
      <c r="A26" s="4">
        <v>5</v>
      </c>
      <c r="B26">
        <v>1</v>
      </c>
      <c r="C26" s="4">
        <v>334</v>
      </c>
      <c r="D26" s="13">
        <v>2</v>
      </c>
      <c r="F26" s="5" t="s">
        <v>55</v>
      </c>
    </row>
    <row r="27" spans="1:13">
      <c r="A27" s="4">
        <v>5</v>
      </c>
      <c r="B27">
        <v>2</v>
      </c>
      <c r="C27" s="4">
        <v>334</v>
      </c>
      <c r="D27" s="13">
        <v>2</v>
      </c>
      <c r="F27" s="5" t="s">
        <v>58</v>
      </c>
    </row>
    <row r="28" spans="1:13">
      <c r="A28" s="4">
        <v>5</v>
      </c>
      <c r="B28">
        <v>3</v>
      </c>
      <c r="C28" s="4">
        <v>334</v>
      </c>
      <c r="D28" s="13">
        <v>2</v>
      </c>
      <c r="F28" s="5" t="s">
        <v>27</v>
      </c>
    </row>
    <row r="29" spans="1:13">
      <c r="A29" s="4">
        <v>7</v>
      </c>
      <c r="B29">
        <v>1</v>
      </c>
      <c r="C29" s="4">
        <f>AVERAGE(272, 266)</f>
        <v>269</v>
      </c>
      <c r="D29" s="13">
        <v>1</v>
      </c>
      <c r="F29" s="5" t="s">
        <v>64</v>
      </c>
    </row>
    <row r="30" spans="1:13">
      <c r="A30" s="4">
        <v>7</v>
      </c>
      <c r="B30">
        <v>2</v>
      </c>
      <c r="C30" s="4">
        <f t="shared" ref="C30:C31" si="2">AVERAGE(272, 266)</f>
        <v>269</v>
      </c>
      <c r="D30" s="13">
        <v>1</v>
      </c>
      <c r="F30" s="5" t="s">
        <v>66</v>
      </c>
    </row>
    <row r="31" spans="1:13">
      <c r="A31" s="4">
        <v>7</v>
      </c>
      <c r="B31">
        <v>3</v>
      </c>
      <c r="C31" s="4">
        <f t="shared" si="2"/>
        <v>269</v>
      </c>
      <c r="D31" s="13">
        <v>2</v>
      </c>
      <c r="F31" s="4" t="s">
        <v>77</v>
      </c>
    </row>
    <row r="32" spans="1:13">
      <c r="A32" s="4">
        <v>8</v>
      </c>
      <c r="B32">
        <v>1</v>
      </c>
      <c r="C32" s="4">
        <v>64.349999999999994</v>
      </c>
      <c r="D32" s="13">
        <v>2</v>
      </c>
      <c r="F32" s="4" t="s">
        <v>82</v>
      </c>
    </row>
    <row r="33" spans="1:6">
      <c r="A33" s="4">
        <v>8</v>
      </c>
      <c r="B33">
        <v>2</v>
      </c>
      <c r="C33" s="4">
        <v>64.349999999999994</v>
      </c>
      <c r="D33" s="13">
        <v>2</v>
      </c>
      <c r="F33" s="4" t="s">
        <v>78</v>
      </c>
    </row>
    <row r="34" spans="1:6">
      <c r="A34" s="4">
        <v>8</v>
      </c>
      <c r="B34">
        <v>3</v>
      </c>
      <c r="C34" s="4">
        <v>64.349999999999994</v>
      </c>
      <c r="D34" s="13">
        <v>2</v>
      </c>
      <c r="F34" s="4" t="s">
        <v>79</v>
      </c>
    </row>
    <row r="35" spans="1:6">
      <c r="A35" s="4">
        <v>9</v>
      </c>
      <c r="B35">
        <v>1</v>
      </c>
      <c r="C35" s="7">
        <v>32.1</v>
      </c>
      <c r="D35" s="13">
        <v>2</v>
      </c>
      <c r="F35" s="4" t="s">
        <v>80</v>
      </c>
    </row>
    <row r="36" spans="1:6">
      <c r="A36" s="4">
        <v>9</v>
      </c>
      <c r="B36">
        <v>2</v>
      </c>
      <c r="C36" s="7">
        <v>32.1</v>
      </c>
      <c r="D36" s="13">
        <v>2</v>
      </c>
      <c r="F36" s="4" t="s">
        <v>150</v>
      </c>
    </row>
    <row r="37" spans="1:6">
      <c r="A37" s="4">
        <v>9</v>
      </c>
      <c r="B37">
        <v>3</v>
      </c>
      <c r="C37" s="7">
        <v>32.1</v>
      </c>
      <c r="D37" s="13">
        <v>2</v>
      </c>
    </row>
    <row r="38" spans="1:6">
      <c r="A38" s="4">
        <v>10</v>
      </c>
      <c r="B38">
        <v>1</v>
      </c>
      <c r="C38" s="4">
        <v>15.2</v>
      </c>
      <c r="D38" s="13">
        <v>2</v>
      </c>
    </row>
    <row r="39" spans="1:6">
      <c r="A39" s="4">
        <v>10</v>
      </c>
      <c r="B39">
        <v>2</v>
      </c>
      <c r="C39" s="4">
        <v>15.2</v>
      </c>
      <c r="D39" s="13">
        <v>2</v>
      </c>
    </row>
    <row r="40" spans="1:6">
      <c r="A40" s="4">
        <v>10</v>
      </c>
      <c r="B40">
        <v>3</v>
      </c>
      <c r="C40" s="4">
        <v>15.2</v>
      </c>
      <c r="D40" s="13">
        <v>2</v>
      </c>
    </row>
    <row r="41" spans="1:6">
      <c r="A41" s="4">
        <v>11</v>
      </c>
      <c r="B41">
        <v>1</v>
      </c>
      <c r="C41" s="4">
        <f>AVERAGE(224,241)</f>
        <v>232.5</v>
      </c>
      <c r="D41" s="13">
        <v>2</v>
      </c>
    </row>
    <row r="42" spans="1:6">
      <c r="A42" s="4">
        <v>11</v>
      </c>
      <c r="B42">
        <v>2</v>
      </c>
      <c r="C42" s="4">
        <f t="shared" ref="C42:C43" si="3">AVERAGE(224,241)</f>
        <v>232.5</v>
      </c>
      <c r="D42" s="13">
        <v>2</v>
      </c>
    </row>
    <row r="43" spans="1:6">
      <c r="A43" s="4">
        <v>11</v>
      </c>
      <c r="B43">
        <v>3</v>
      </c>
      <c r="C43" s="4">
        <f t="shared" si="3"/>
        <v>232.5</v>
      </c>
      <c r="D43" s="13">
        <v>2</v>
      </c>
    </row>
    <row r="44" spans="1:6">
      <c r="A44" s="4">
        <v>13</v>
      </c>
      <c r="B44">
        <v>1</v>
      </c>
      <c r="C44" s="4">
        <v>146.5</v>
      </c>
      <c r="D44" s="13">
        <v>1</v>
      </c>
    </row>
    <row r="45" spans="1:6">
      <c r="A45" s="4">
        <v>13</v>
      </c>
      <c r="B45">
        <v>2</v>
      </c>
      <c r="C45" s="4">
        <v>146.5</v>
      </c>
      <c r="D45" s="13">
        <v>1</v>
      </c>
    </row>
    <row r="46" spans="1:6">
      <c r="A46" s="4">
        <v>13</v>
      </c>
      <c r="B46">
        <v>3</v>
      </c>
      <c r="C46" s="4">
        <v>146.5</v>
      </c>
      <c r="D46" s="13">
        <v>1</v>
      </c>
    </row>
    <row r="47" spans="1:6">
      <c r="A47" s="4">
        <v>14</v>
      </c>
      <c r="B47">
        <v>1</v>
      </c>
      <c r="C47" s="4">
        <v>102</v>
      </c>
      <c r="D47" s="13">
        <v>1</v>
      </c>
    </row>
    <row r="48" spans="1:6">
      <c r="A48" s="4">
        <v>14</v>
      </c>
      <c r="B48">
        <v>2</v>
      </c>
      <c r="C48" s="4">
        <v>102</v>
      </c>
      <c r="D48" s="13">
        <v>1</v>
      </c>
    </row>
    <row r="49" spans="1:4">
      <c r="A49" s="4">
        <v>14</v>
      </c>
      <c r="B49">
        <v>3</v>
      </c>
      <c r="C49" s="4">
        <v>102</v>
      </c>
      <c r="D49" s="13">
        <v>1</v>
      </c>
    </row>
    <row r="50" spans="1:4">
      <c r="A50" s="4">
        <v>15</v>
      </c>
      <c r="B50">
        <v>1</v>
      </c>
      <c r="C50" s="4">
        <v>54.6</v>
      </c>
      <c r="D50" s="13">
        <v>2</v>
      </c>
    </row>
    <row r="51" spans="1:4">
      <c r="A51" s="4">
        <v>15</v>
      </c>
      <c r="B51">
        <v>2</v>
      </c>
      <c r="C51" s="4">
        <v>54.6</v>
      </c>
      <c r="D51" s="13">
        <v>2</v>
      </c>
    </row>
    <row r="52" spans="1:4">
      <c r="A52" s="4">
        <v>15</v>
      </c>
      <c r="B52">
        <v>3</v>
      </c>
      <c r="C52" s="4">
        <v>54.6</v>
      </c>
      <c r="D52" s="13">
        <v>2</v>
      </c>
    </row>
    <row r="53" spans="1:4">
      <c r="A53" s="4">
        <v>16</v>
      </c>
      <c r="B53">
        <v>1</v>
      </c>
      <c r="C53" s="4">
        <v>128</v>
      </c>
      <c r="D53" s="13">
        <v>2</v>
      </c>
    </row>
    <row r="54" spans="1:4">
      <c r="A54" s="4">
        <v>16</v>
      </c>
      <c r="B54">
        <v>2</v>
      </c>
      <c r="C54" s="4">
        <v>128</v>
      </c>
      <c r="D54" s="13">
        <v>2</v>
      </c>
    </row>
    <row r="55" spans="1:4">
      <c r="A55" s="4">
        <v>16</v>
      </c>
      <c r="B55">
        <v>3</v>
      </c>
      <c r="C55" s="4">
        <v>128</v>
      </c>
      <c r="D55" s="13">
        <v>2</v>
      </c>
    </row>
    <row r="56" spans="1:4">
      <c r="A56" s="4">
        <v>17</v>
      </c>
      <c r="B56">
        <v>1</v>
      </c>
      <c r="C56" s="4">
        <v>1.1599999999999999</v>
      </c>
      <c r="D56" s="13">
        <v>1</v>
      </c>
    </row>
    <row r="57" spans="1:4">
      <c r="A57" s="4">
        <v>17</v>
      </c>
      <c r="B57">
        <v>2</v>
      </c>
      <c r="C57" s="4">
        <v>1.1599999999999999</v>
      </c>
      <c r="D57" s="13">
        <v>1</v>
      </c>
    </row>
    <row r="58" spans="1:4">
      <c r="A58" s="4">
        <v>17</v>
      </c>
      <c r="B58">
        <v>3</v>
      </c>
      <c r="C58" s="4">
        <v>1.1599999999999999</v>
      </c>
      <c r="D58" s="13">
        <v>1</v>
      </c>
    </row>
    <row r="59" spans="1:4">
      <c r="A59" s="4">
        <v>18</v>
      </c>
      <c r="B59">
        <v>1</v>
      </c>
      <c r="C59" s="4">
        <v>0</v>
      </c>
      <c r="D59" s="13">
        <v>2</v>
      </c>
    </row>
    <row r="60" spans="1:4">
      <c r="A60" s="4">
        <v>18</v>
      </c>
      <c r="B60">
        <v>2</v>
      </c>
      <c r="C60" s="4">
        <v>0</v>
      </c>
      <c r="D60" s="13">
        <v>2</v>
      </c>
    </row>
    <row r="61" spans="1:4">
      <c r="A61" s="4">
        <v>18</v>
      </c>
      <c r="B61">
        <v>3</v>
      </c>
      <c r="C61" s="4">
        <v>0</v>
      </c>
      <c r="D61" s="13">
        <v>2</v>
      </c>
    </row>
    <row r="62" spans="1:4">
      <c r="A62" s="4">
        <v>19</v>
      </c>
      <c r="B62">
        <v>1</v>
      </c>
      <c r="C62" s="4">
        <v>164</v>
      </c>
      <c r="D62" s="13">
        <v>2</v>
      </c>
    </row>
    <row r="63" spans="1:4">
      <c r="A63" s="4">
        <v>19</v>
      </c>
      <c r="B63">
        <v>2</v>
      </c>
      <c r="C63" s="4">
        <v>164</v>
      </c>
      <c r="D63" s="13">
        <v>2</v>
      </c>
    </row>
    <row r="64" spans="1:4">
      <c r="A64" s="4">
        <v>19</v>
      </c>
      <c r="B64">
        <v>3</v>
      </c>
      <c r="C64" s="4">
        <v>164</v>
      </c>
      <c r="D64" s="13">
        <v>2</v>
      </c>
    </row>
    <row r="65" spans="1:4">
      <c r="A65" s="4">
        <v>22</v>
      </c>
      <c r="B65">
        <v>1</v>
      </c>
      <c r="C65" s="4">
        <v>27.7</v>
      </c>
      <c r="D65" s="13">
        <v>2</v>
      </c>
    </row>
    <row r="66" spans="1:4">
      <c r="A66" s="4">
        <v>22</v>
      </c>
      <c r="B66">
        <v>2</v>
      </c>
      <c r="C66" s="4">
        <v>27.7</v>
      </c>
      <c r="D66" s="13">
        <v>2</v>
      </c>
    </row>
    <row r="67" spans="1:4">
      <c r="A67" s="4">
        <v>22</v>
      </c>
      <c r="B67">
        <v>3</v>
      </c>
      <c r="C67" s="4">
        <v>27.7</v>
      </c>
      <c r="D67" s="13">
        <v>2</v>
      </c>
    </row>
    <row r="68" spans="1:4">
      <c r="A68" s="4">
        <v>23</v>
      </c>
      <c r="B68">
        <v>1</v>
      </c>
      <c r="C68" s="4">
        <v>52.4</v>
      </c>
      <c r="D68" s="13">
        <v>1</v>
      </c>
    </row>
    <row r="69" spans="1:4">
      <c r="A69" s="4">
        <v>23</v>
      </c>
      <c r="B69">
        <v>2</v>
      </c>
      <c r="C69" s="4">
        <v>52.4</v>
      </c>
      <c r="D69" s="13">
        <v>1</v>
      </c>
    </row>
    <row r="70" spans="1:4">
      <c r="A70" s="4">
        <v>23</v>
      </c>
      <c r="B70">
        <v>3</v>
      </c>
      <c r="C70" s="4">
        <v>52.4</v>
      </c>
      <c r="D70" s="13">
        <v>1</v>
      </c>
    </row>
    <row r="71" spans="1:4">
      <c r="A71" s="4">
        <v>24</v>
      </c>
      <c r="B71">
        <v>1</v>
      </c>
      <c r="C71" s="4">
        <v>8.09</v>
      </c>
      <c r="D71" s="13">
        <v>2</v>
      </c>
    </row>
    <row r="72" spans="1:4">
      <c r="A72" s="4">
        <v>24</v>
      </c>
      <c r="B72">
        <v>2</v>
      </c>
      <c r="C72" s="4">
        <v>8.09</v>
      </c>
      <c r="D72" s="13">
        <v>2</v>
      </c>
    </row>
    <row r="73" spans="1:4">
      <c r="A73" s="4">
        <v>24</v>
      </c>
      <c r="B73">
        <v>3</v>
      </c>
      <c r="C73" s="4">
        <v>8.09</v>
      </c>
      <c r="D73" s="13">
        <v>2</v>
      </c>
    </row>
    <row r="74" spans="1:4">
      <c r="A74" s="4">
        <v>25</v>
      </c>
      <c r="B74">
        <v>1</v>
      </c>
      <c r="C74" s="4">
        <v>31.34</v>
      </c>
      <c r="D74" s="13">
        <v>2</v>
      </c>
    </row>
    <row r="75" spans="1:4">
      <c r="A75" s="4">
        <v>25</v>
      </c>
      <c r="B75">
        <v>2</v>
      </c>
      <c r="C75" s="4">
        <v>31.34</v>
      </c>
      <c r="D75" s="13">
        <v>2</v>
      </c>
    </row>
    <row r="76" spans="1:4">
      <c r="A76" s="4">
        <v>25</v>
      </c>
      <c r="B76">
        <v>3</v>
      </c>
      <c r="C76" s="4">
        <v>31.34</v>
      </c>
      <c r="D76" s="13">
        <v>2</v>
      </c>
    </row>
    <row r="77" spans="1:4">
      <c r="A77" s="4">
        <v>26</v>
      </c>
      <c r="B77">
        <v>1</v>
      </c>
      <c r="C77" s="4">
        <v>33.299999999999997</v>
      </c>
      <c r="D77" s="13">
        <v>1</v>
      </c>
    </row>
    <row r="78" spans="1:4">
      <c r="A78" s="4">
        <v>26</v>
      </c>
      <c r="B78">
        <v>2</v>
      </c>
      <c r="C78" s="4">
        <v>33.299999999999997</v>
      </c>
      <c r="D78" s="13">
        <v>1</v>
      </c>
    </row>
    <row r="79" spans="1:4">
      <c r="A79" s="4">
        <v>26</v>
      </c>
      <c r="B79">
        <v>3</v>
      </c>
      <c r="C79" s="4">
        <v>33.299999999999997</v>
      </c>
      <c r="D79" s="13">
        <v>1</v>
      </c>
    </row>
    <row r="80" spans="1:4">
      <c r="A80" s="4">
        <v>29</v>
      </c>
      <c r="B80">
        <v>1</v>
      </c>
      <c r="C80" s="4">
        <v>62</v>
      </c>
      <c r="D80" s="13">
        <v>1</v>
      </c>
    </row>
    <row r="81" spans="1:4">
      <c r="A81" s="4">
        <v>29</v>
      </c>
      <c r="B81">
        <v>2</v>
      </c>
      <c r="C81" s="4">
        <v>62</v>
      </c>
      <c r="D81" s="13">
        <v>1</v>
      </c>
    </row>
    <row r="82" spans="1:4">
      <c r="A82" s="4">
        <v>29</v>
      </c>
      <c r="B82">
        <v>3</v>
      </c>
      <c r="C82" s="4">
        <v>62</v>
      </c>
      <c r="D82" s="13">
        <v>1</v>
      </c>
    </row>
    <row r="83" spans="1:4">
      <c r="A83" s="4">
        <v>31</v>
      </c>
      <c r="B83">
        <v>1</v>
      </c>
      <c r="C83" s="4">
        <v>73.5</v>
      </c>
      <c r="D83" s="13">
        <v>2</v>
      </c>
    </row>
    <row r="84" spans="1:4">
      <c r="A84" s="4">
        <v>31</v>
      </c>
      <c r="B84">
        <v>2</v>
      </c>
      <c r="C84" s="4">
        <v>73.5</v>
      </c>
      <c r="D84" s="13">
        <v>2</v>
      </c>
    </row>
    <row r="85" spans="1:4">
      <c r="A85" s="4">
        <v>31</v>
      </c>
      <c r="B85">
        <v>3</v>
      </c>
      <c r="C85" s="4">
        <v>73.5</v>
      </c>
      <c r="D85" s="13">
        <v>2</v>
      </c>
    </row>
    <row r="86" spans="1:4">
      <c r="A86" s="4">
        <v>32</v>
      </c>
      <c r="B86">
        <v>1</v>
      </c>
      <c r="C86" s="4">
        <v>35.9</v>
      </c>
      <c r="D86" s="13">
        <v>2</v>
      </c>
    </row>
    <row r="87" spans="1:4">
      <c r="A87">
        <v>32</v>
      </c>
      <c r="B87">
        <v>2</v>
      </c>
      <c r="C87" s="4">
        <v>35.9</v>
      </c>
      <c r="D87" s="13">
        <v>2</v>
      </c>
    </row>
    <row r="88" spans="1:4">
      <c r="A88">
        <v>32</v>
      </c>
      <c r="B88">
        <v>3</v>
      </c>
      <c r="C88" s="4">
        <v>35.9</v>
      </c>
      <c r="D88" s="13">
        <v>2</v>
      </c>
    </row>
  </sheetData>
  <mergeCells count="7">
    <mergeCell ref="H2:H7"/>
    <mergeCell ref="I2:I4"/>
    <mergeCell ref="I5:I7"/>
    <mergeCell ref="H8:H16"/>
    <mergeCell ref="I8:I10"/>
    <mergeCell ref="I11:I13"/>
    <mergeCell ref="I14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5E5E-8E2C-4E91-B1E1-F37D1D5F00E5}">
  <dimension ref="A1:J36"/>
  <sheetViews>
    <sheetView topLeftCell="A19" workbookViewId="0">
      <selection sqref="A1:E36"/>
    </sheetView>
  </sheetViews>
  <sheetFormatPr defaultRowHeight="14.5"/>
  <sheetData>
    <row r="1" spans="1:10">
      <c r="A1" s="1" t="s">
        <v>1</v>
      </c>
      <c r="B1" s="1" t="s">
        <v>2</v>
      </c>
      <c r="C1" s="1" t="s">
        <v>11</v>
      </c>
      <c r="D1" s="2" t="s">
        <v>7</v>
      </c>
      <c r="E1" s="1" t="s">
        <v>14</v>
      </c>
    </row>
    <row r="2" spans="1:10">
      <c r="A2" s="4">
        <v>2</v>
      </c>
      <c r="B2" s="5" t="s">
        <v>23</v>
      </c>
      <c r="C2" s="30">
        <f>(6.88+6.93+6.94)/3</f>
        <v>6.916666666666667</v>
      </c>
      <c r="D2" s="5" t="s">
        <v>32</v>
      </c>
      <c r="E2" s="4">
        <f>(318+297)/2</f>
        <v>307.5</v>
      </c>
      <c r="I2">
        <f>COUNT(C2:C16)</f>
        <v>15</v>
      </c>
    </row>
    <row r="3" spans="1:10">
      <c r="A3" s="4">
        <v>3</v>
      </c>
      <c r="B3" s="5" t="s">
        <v>20</v>
      </c>
      <c r="C3" s="4">
        <f>(6.36+6.38+6.4)/3</f>
        <v>6.38</v>
      </c>
      <c r="D3" s="5" t="s">
        <v>32</v>
      </c>
      <c r="E3" s="4">
        <f>(323+270)/2</f>
        <v>296.5</v>
      </c>
      <c r="I3">
        <f>COUNT(C17:C36)</f>
        <v>20</v>
      </c>
    </row>
    <row r="4" spans="1:10">
      <c r="A4" s="4">
        <v>4</v>
      </c>
      <c r="B4" s="5" t="s">
        <v>26</v>
      </c>
      <c r="C4" s="4">
        <v>7.22</v>
      </c>
      <c r="D4" s="5" t="s">
        <v>32</v>
      </c>
      <c r="E4" s="4">
        <v>38.1</v>
      </c>
      <c r="I4" s="29">
        <f>MIN(C2:C16)</f>
        <v>5.36</v>
      </c>
      <c r="J4">
        <f>MIN(C17:C36)</f>
        <v>1.76</v>
      </c>
    </row>
    <row r="5" spans="1:10">
      <c r="A5" s="4">
        <v>6</v>
      </c>
      <c r="B5" s="5" t="s">
        <v>31</v>
      </c>
      <c r="C5" s="7">
        <v>9.4499999999999993</v>
      </c>
      <c r="D5" s="5" t="s">
        <v>32</v>
      </c>
      <c r="E5" s="4">
        <v>131.5</v>
      </c>
      <c r="I5" s="29">
        <f>MAX(C2:C16)</f>
        <v>9.4499999999999993</v>
      </c>
      <c r="J5">
        <f>MAX(C17:C36)</f>
        <v>7.58</v>
      </c>
    </row>
    <row r="6" spans="1:10">
      <c r="A6" s="4">
        <v>7</v>
      </c>
      <c r="B6" s="5" t="s">
        <v>34</v>
      </c>
      <c r="C6" s="12">
        <f>(6.49+6.52+6.49)/3</f>
        <v>6.5</v>
      </c>
      <c r="D6" s="5" t="s">
        <v>32</v>
      </c>
      <c r="E6" s="4">
        <f>AVERAGE(272, 266)</f>
        <v>269</v>
      </c>
      <c r="I6" s="29">
        <f>AVERAGE(C2:C16)</f>
        <v>6.9368888888888884</v>
      </c>
      <c r="J6">
        <f>AVERAGE(C17:C36)</f>
        <v>5.5041666666666647</v>
      </c>
    </row>
    <row r="7" spans="1:10">
      <c r="A7" s="4">
        <v>13</v>
      </c>
      <c r="B7" s="5" t="s">
        <v>44</v>
      </c>
      <c r="C7" s="4">
        <v>7</v>
      </c>
      <c r="D7" s="5" t="s">
        <v>32</v>
      </c>
      <c r="E7" s="4">
        <v>146.5</v>
      </c>
      <c r="I7">
        <f>STDEV(C2:C16)</f>
        <v>1.1001994528170111</v>
      </c>
      <c r="J7">
        <f>STDEV(C9:C36)</f>
        <v>1.6270057535018996</v>
      </c>
    </row>
    <row r="8" spans="1:10">
      <c r="A8" s="4">
        <v>14</v>
      </c>
      <c r="B8" s="5" t="s">
        <v>29</v>
      </c>
      <c r="C8" s="4">
        <f>(6.66+6.84+6.84)/3</f>
        <v>6.78</v>
      </c>
      <c r="D8" s="5" t="s">
        <v>32</v>
      </c>
      <c r="E8" s="4">
        <v>102</v>
      </c>
    </row>
    <row r="9" spans="1:10">
      <c r="A9" s="4">
        <v>17</v>
      </c>
      <c r="B9" s="5" t="s">
        <v>52</v>
      </c>
      <c r="C9" s="32">
        <v>8.2899999999999991</v>
      </c>
      <c r="D9" s="5" t="s">
        <v>32</v>
      </c>
      <c r="E9" s="14">
        <v>1.1599999999999999</v>
      </c>
    </row>
    <row r="10" spans="1:10">
      <c r="A10" s="4">
        <v>20</v>
      </c>
      <c r="B10" s="5" t="s">
        <v>60</v>
      </c>
      <c r="C10" s="4">
        <f>(6.72+6.78+6.78)/3</f>
        <v>6.7600000000000007</v>
      </c>
      <c r="D10" s="5" t="s">
        <v>32</v>
      </c>
      <c r="E10" s="4">
        <v>34</v>
      </c>
    </row>
    <row r="11" spans="1:10">
      <c r="A11" s="4">
        <v>21</v>
      </c>
      <c r="B11" s="5" t="s">
        <v>62</v>
      </c>
      <c r="C11" s="4">
        <f>(6.29+6.33+6.28)/3</f>
        <v>6.3000000000000007</v>
      </c>
      <c r="D11" s="5" t="s">
        <v>32</v>
      </c>
      <c r="E11" s="4">
        <v>249</v>
      </c>
    </row>
    <row r="12" spans="1:10">
      <c r="A12" s="4">
        <v>23</v>
      </c>
      <c r="B12" s="5" t="s">
        <v>63</v>
      </c>
      <c r="C12" s="4">
        <v>7.48</v>
      </c>
      <c r="D12" s="5" t="s">
        <v>32</v>
      </c>
      <c r="E12" s="4">
        <v>52.4</v>
      </c>
    </row>
    <row r="13" spans="1:10">
      <c r="A13" s="4">
        <v>26</v>
      </c>
      <c r="B13" s="5" t="s">
        <v>68</v>
      </c>
      <c r="C13" s="7">
        <f>(5.62+5.66+5.69)/3</f>
        <v>5.6566666666666672</v>
      </c>
      <c r="D13" s="5" t="s">
        <v>32</v>
      </c>
      <c r="E13" s="4">
        <v>33.299999999999997</v>
      </c>
    </row>
    <row r="14" spans="1:10">
      <c r="A14" s="4">
        <v>27</v>
      </c>
      <c r="B14" s="5" t="s">
        <v>70</v>
      </c>
      <c r="C14" s="4">
        <v>8.27</v>
      </c>
      <c r="D14" s="5" t="s">
        <v>32</v>
      </c>
      <c r="E14" s="4">
        <v>556</v>
      </c>
    </row>
    <row r="15" spans="1:10">
      <c r="A15" s="4">
        <v>28</v>
      </c>
      <c r="B15" s="5" t="s">
        <v>72</v>
      </c>
      <c r="C15" s="4">
        <f>(5.69+5.69+5.69)/3</f>
        <v>5.69</v>
      </c>
      <c r="D15" s="5" t="s">
        <v>32</v>
      </c>
      <c r="E15" s="4">
        <v>129</v>
      </c>
    </row>
    <row r="16" spans="1:10">
      <c r="A16" s="4">
        <v>29</v>
      </c>
      <c r="B16" s="5" t="s">
        <v>74</v>
      </c>
      <c r="C16" s="12">
        <f>(5.37+5.34+5.37)/3</f>
        <v>5.36</v>
      </c>
      <c r="D16" s="5" t="s">
        <v>32</v>
      </c>
      <c r="E16" s="4">
        <v>62</v>
      </c>
    </row>
    <row r="17" spans="1:5">
      <c r="A17" s="4">
        <v>1</v>
      </c>
      <c r="B17" s="5" t="s">
        <v>19</v>
      </c>
      <c r="C17" s="4">
        <v>7</v>
      </c>
      <c r="D17" s="5" t="s">
        <v>22</v>
      </c>
      <c r="E17" s="4"/>
    </row>
    <row r="18" spans="1:5">
      <c r="A18" s="4">
        <v>5</v>
      </c>
      <c r="B18" s="5" t="s">
        <v>28</v>
      </c>
      <c r="C18" s="4">
        <v>2.5099999999999998</v>
      </c>
      <c r="D18" s="5" t="s">
        <v>22</v>
      </c>
      <c r="E18" s="4">
        <v>334</v>
      </c>
    </row>
    <row r="19" spans="1:5">
      <c r="A19" s="4">
        <v>8</v>
      </c>
      <c r="B19" s="5" t="s">
        <v>36</v>
      </c>
      <c r="C19" s="4">
        <f>(2.77+2.74+2.71)/3</f>
        <v>2.7399999999999998</v>
      </c>
      <c r="D19" s="5" t="s">
        <v>22</v>
      </c>
      <c r="E19" s="4">
        <v>64.349999999999994</v>
      </c>
    </row>
    <row r="20" spans="1:5">
      <c r="A20" s="4">
        <v>9</v>
      </c>
      <c r="B20" s="5" t="s">
        <v>38</v>
      </c>
      <c r="C20" s="10">
        <f>(5.34+5.38+5.34)/3</f>
        <v>5.3533333333333326</v>
      </c>
      <c r="D20" s="5" t="s">
        <v>22</v>
      </c>
      <c r="E20" s="7">
        <v>32.1</v>
      </c>
    </row>
    <row r="21" spans="1:5">
      <c r="A21" s="4">
        <v>10</v>
      </c>
      <c r="B21" s="5" t="s">
        <v>39</v>
      </c>
      <c r="C21" s="31">
        <f>(5.97+5.98+6)/3</f>
        <v>5.9833333333333334</v>
      </c>
      <c r="D21" s="5" t="s">
        <v>22</v>
      </c>
      <c r="E21" s="4">
        <v>15.2</v>
      </c>
    </row>
    <row r="22" spans="1:5">
      <c r="A22" s="4">
        <v>11</v>
      </c>
      <c r="B22" s="5" t="s">
        <v>35</v>
      </c>
      <c r="C22" s="4">
        <v>6.11</v>
      </c>
      <c r="D22" s="5" t="s">
        <v>22</v>
      </c>
      <c r="E22" s="4">
        <f>AVERAGE(224,241)</f>
        <v>232.5</v>
      </c>
    </row>
    <row r="23" spans="1:5">
      <c r="A23" s="4">
        <v>12</v>
      </c>
      <c r="B23" s="5" t="s">
        <v>42</v>
      </c>
      <c r="C23" s="4">
        <v>1.76</v>
      </c>
      <c r="D23" s="5" t="s">
        <v>22</v>
      </c>
      <c r="E23" s="4"/>
    </row>
    <row r="24" spans="1:5">
      <c r="A24" s="4">
        <v>15</v>
      </c>
      <c r="B24" s="5" t="s">
        <v>46</v>
      </c>
      <c r="C24" s="12">
        <f>(6.11+6.14+6.17)/3</f>
        <v>6.1400000000000006</v>
      </c>
      <c r="D24" s="5" t="s">
        <v>22</v>
      </c>
      <c r="E24" s="4">
        <v>54.6</v>
      </c>
    </row>
    <row r="25" spans="1:5">
      <c r="A25" s="4">
        <v>16</v>
      </c>
      <c r="B25" s="5" t="s">
        <v>49</v>
      </c>
      <c r="C25" s="7">
        <f>(5.43+5.47+5.5)/3</f>
        <v>5.4666666666666659</v>
      </c>
      <c r="D25" s="5" t="s">
        <v>22</v>
      </c>
      <c r="E25" s="4">
        <v>128</v>
      </c>
    </row>
    <row r="26" spans="1:5">
      <c r="A26" s="4">
        <v>18</v>
      </c>
      <c r="B26" s="5" t="s">
        <v>55</v>
      </c>
      <c r="C26" s="4">
        <v>3.58</v>
      </c>
      <c r="D26" s="5" t="s">
        <v>22</v>
      </c>
      <c r="E26" s="4">
        <v>0</v>
      </c>
    </row>
    <row r="27" spans="1:5">
      <c r="A27" s="4">
        <v>19</v>
      </c>
      <c r="B27" s="5" t="s">
        <v>58</v>
      </c>
      <c r="C27" s="4">
        <v>5.64</v>
      </c>
      <c r="D27" s="5" t="s">
        <v>22</v>
      </c>
      <c r="E27" s="4">
        <v>164</v>
      </c>
    </row>
    <row r="28" spans="1:5">
      <c r="A28" s="4">
        <v>22</v>
      </c>
      <c r="B28" s="5" t="s">
        <v>27</v>
      </c>
      <c r="C28" s="12">
        <f>(7.01+7.02+7.03)/3</f>
        <v>7.02</v>
      </c>
      <c r="D28" s="5" t="s">
        <v>22</v>
      </c>
      <c r="E28" s="4">
        <v>27.7</v>
      </c>
    </row>
    <row r="29" spans="1:5">
      <c r="A29" s="4">
        <v>24</v>
      </c>
      <c r="B29" s="5" t="s">
        <v>64</v>
      </c>
      <c r="C29" s="4">
        <v>6.85</v>
      </c>
      <c r="D29" s="5" t="s">
        <v>22</v>
      </c>
      <c r="E29" s="4">
        <v>8.09</v>
      </c>
    </row>
    <row r="30" spans="1:5">
      <c r="A30" s="4">
        <v>25</v>
      </c>
      <c r="B30" s="5" t="s">
        <v>66</v>
      </c>
      <c r="C30" s="4">
        <v>7.58</v>
      </c>
      <c r="D30" s="5" t="s">
        <v>22</v>
      </c>
      <c r="E30" s="4">
        <v>31.34</v>
      </c>
    </row>
    <row r="31" spans="1:5">
      <c r="A31" s="4">
        <v>31</v>
      </c>
      <c r="B31" s="4" t="s">
        <v>77</v>
      </c>
      <c r="C31" s="4">
        <v>6.8</v>
      </c>
      <c r="D31" s="5" t="s">
        <v>22</v>
      </c>
      <c r="E31" s="4">
        <v>73.5</v>
      </c>
    </row>
    <row r="32" spans="1:5">
      <c r="A32" s="4">
        <v>32</v>
      </c>
      <c r="B32" s="4" t="s">
        <v>82</v>
      </c>
      <c r="C32" s="4">
        <v>7</v>
      </c>
      <c r="D32" s="5" t="s">
        <v>22</v>
      </c>
      <c r="E32" s="4">
        <v>35.9</v>
      </c>
    </row>
    <row r="33" spans="1:5">
      <c r="A33" s="4">
        <v>33</v>
      </c>
      <c r="B33" s="4" t="s">
        <v>78</v>
      </c>
      <c r="C33" s="4">
        <v>5.0999999999999996</v>
      </c>
      <c r="D33" s="5" t="s">
        <v>22</v>
      </c>
      <c r="E33" s="4"/>
    </row>
    <row r="34" spans="1:5">
      <c r="A34" s="4">
        <v>34</v>
      </c>
      <c r="B34" s="4" t="s">
        <v>79</v>
      </c>
      <c r="C34" s="4">
        <v>4.5</v>
      </c>
      <c r="D34" s="5" t="s">
        <v>22</v>
      </c>
      <c r="E34" s="4"/>
    </row>
    <row r="35" spans="1:5">
      <c r="A35" s="4">
        <v>36</v>
      </c>
      <c r="B35" s="4" t="s">
        <v>80</v>
      </c>
      <c r="C35" s="4">
        <v>6.1</v>
      </c>
      <c r="D35" s="5" t="s">
        <v>22</v>
      </c>
      <c r="E35" s="4"/>
    </row>
    <row r="36" spans="1:5">
      <c r="A36" s="4">
        <v>38</v>
      </c>
      <c r="B36" s="4" t="s">
        <v>150</v>
      </c>
      <c r="C36" s="4">
        <f>(6.81+6.84+6.9)/3</f>
        <v>6.8499999999999988</v>
      </c>
      <c r="D36" s="5" t="s">
        <v>22</v>
      </c>
      <c r="E36" s="4"/>
    </row>
  </sheetData>
  <sortState xmlns:xlrd2="http://schemas.microsoft.com/office/spreadsheetml/2017/richdata2" ref="A2:D36">
    <sortCondition ref="D2:D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E101-54F3-41C5-B8C3-FF651255DD7C}">
  <dimension ref="A1:D109"/>
  <sheetViews>
    <sheetView workbookViewId="0">
      <selection activeCell="H8" sqref="H8"/>
    </sheetView>
  </sheetViews>
  <sheetFormatPr defaultRowHeight="14.5"/>
  <sheetData>
    <row r="1" spans="1:4">
      <c r="A1" s="1" t="s">
        <v>114</v>
      </c>
      <c r="B1" t="s">
        <v>133</v>
      </c>
      <c r="C1" t="s">
        <v>149</v>
      </c>
      <c r="D1" t="s">
        <v>11</v>
      </c>
    </row>
    <row r="2" spans="1:4">
      <c r="A2" s="1">
        <v>2</v>
      </c>
      <c r="B2">
        <v>1</v>
      </c>
      <c r="C2">
        <v>1</v>
      </c>
      <c r="D2" s="12">
        <v>6.88</v>
      </c>
    </row>
    <row r="3" spans="1:4">
      <c r="A3" s="1">
        <v>2</v>
      </c>
      <c r="B3">
        <v>2</v>
      </c>
      <c r="C3">
        <v>1</v>
      </c>
      <c r="D3" s="12">
        <v>6.93</v>
      </c>
    </row>
    <row r="4" spans="1:4">
      <c r="A4" s="4">
        <v>2</v>
      </c>
      <c r="B4">
        <v>3</v>
      </c>
      <c r="C4">
        <v>1</v>
      </c>
      <c r="D4" s="12">
        <v>6.94</v>
      </c>
    </row>
    <row r="5" spans="1:4">
      <c r="A5" s="4">
        <v>3</v>
      </c>
      <c r="B5">
        <v>1</v>
      </c>
      <c r="C5">
        <v>1</v>
      </c>
      <c r="D5" s="4">
        <v>6.36</v>
      </c>
    </row>
    <row r="6" spans="1:4">
      <c r="A6" s="4">
        <v>3</v>
      </c>
      <c r="B6">
        <v>2</v>
      </c>
      <c r="C6">
        <v>1</v>
      </c>
      <c r="D6" s="4">
        <v>6.38</v>
      </c>
    </row>
    <row r="7" spans="1:4">
      <c r="A7" s="4">
        <v>3</v>
      </c>
      <c r="B7">
        <v>3</v>
      </c>
      <c r="C7">
        <v>1</v>
      </c>
      <c r="D7" s="4">
        <v>6.4</v>
      </c>
    </row>
    <row r="8" spans="1:4">
      <c r="A8" s="4">
        <v>6</v>
      </c>
      <c r="B8">
        <v>1</v>
      </c>
      <c r="C8">
        <v>1</v>
      </c>
      <c r="D8" s="7">
        <v>9.4499999999999993</v>
      </c>
    </row>
    <row r="9" spans="1:4">
      <c r="A9" s="4">
        <v>6</v>
      </c>
      <c r="B9">
        <v>2</v>
      </c>
      <c r="C9">
        <v>1</v>
      </c>
      <c r="D9" s="7">
        <v>9.4499999999999993</v>
      </c>
    </row>
    <row r="10" spans="1:4">
      <c r="A10" s="4">
        <v>6</v>
      </c>
      <c r="B10">
        <v>3</v>
      </c>
      <c r="C10">
        <v>1</v>
      </c>
      <c r="D10" s="7">
        <v>9.4499999999999993</v>
      </c>
    </row>
    <row r="11" spans="1:4">
      <c r="A11" s="4">
        <v>20</v>
      </c>
      <c r="B11">
        <v>1</v>
      </c>
      <c r="C11">
        <v>1</v>
      </c>
      <c r="D11" s="4">
        <v>5.62</v>
      </c>
    </row>
    <row r="12" spans="1:4">
      <c r="A12" s="4">
        <v>20</v>
      </c>
      <c r="B12">
        <v>2</v>
      </c>
      <c r="C12">
        <v>1</v>
      </c>
      <c r="D12" s="4">
        <v>5.6</v>
      </c>
    </row>
    <row r="13" spans="1:4">
      <c r="A13" s="4">
        <v>20</v>
      </c>
      <c r="B13">
        <v>3</v>
      </c>
      <c r="C13">
        <v>1</v>
      </c>
      <c r="D13" s="4">
        <v>5.59</v>
      </c>
    </row>
    <row r="14" spans="1:4">
      <c r="A14" s="4">
        <v>21</v>
      </c>
      <c r="B14">
        <v>1</v>
      </c>
      <c r="C14">
        <v>1</v>
      </c>
      <c r="D14" s="4">
        <v>6.29</v>
      </c>
    </row>
    <row r="15" spans="1:4">
      <c r="A15" s="4">
        <v>21</v>
      </c>
      <c r="B15">
        <v>2</v>
      </c>
      <c r="C15">
        <v>1</v>
      </c>
      <c r="D15" s="4">
        <v>6.33</v>
      </c>
    </row>
    <row r="16" spans="1:4">
      <c r="A16" s="4">
        <v>21</v>
      </c>
      <c r="B16">
        <v>3</v>
      </c>
      <c r="C16">
        <v>1</v>
      </c>
      <c r="D16" s="4">
        <v>6.28</v>
      </c>
    </row>
    <row r="17" spans="1:4">
      <c r="A17" s="4">
        <v>27</v>
      </c>
      <c r="B17">
        <v>1</v>
      </c>
      <c r="C17">
        <v>1</v>
      </c>
      <c r="D17" s="4">
        <v>8.27</v>
      </c>
    </row>
    <row r="18" spans="1:4">
      <c r="A18" s="4">
        <v>27</v>
      </c>
      <c r="B18">
        <v>2</v>
      </c>
      <c r="C18">
        <v>1</v>
      </c>
      <c r="D18" s="4">
        <v>8.27</v>
      </c>
    </row>
    <row r="19" spans="1:4">
      <c r="A19" s="4">
        <v>27</v>
      </c>
      <c r="B19">
        <v>3</v>
      </c>
      <c r="C19">
        <v>1</v>
      </c>
      <c r="D19" s="4">
        <v>8.27</v>
      </c>
    </row>
    <row r="20" spans="1:4">
      <c r="A20" s="4">
        <v>28</v>
      </c>
      <c r="B20">
        <v>1</v>
      </c>
      <c r="C20">
        <v>1</v>
      </c>
      <c r="D20" s="4">
        <v>5.37</v>
      </c>
    </row>
    <row r="21" spans="1:4">
      <c r="A21" s="4">
        <v>28</v>
      </c>
      <c r="B21">
        <v>2</v>
      </c>
      <c r="C21">
        <v>1</v>
      </c>
      <c r="D21" s="4">
        <v>5.34</v>
      </c>
    </row>
    <row r="22" spans="1:4">
      <c r="A22" s="4">
        <v>28</v>
      </c>
      <c r="B22">
        <v>3</v>
      </c>
      <c r="C22">
        <v>1</v>
      </c>
      <c r="D22" s="4">
        <v>5.37</v>
      </c>
    </row>
    <row r="23" spans="1:4">
      <c r="A23" s="4">
        <v>1</v>
      </c>
      <c r="B23">
        <v>1</v>
      </c>
      <c r="C23">
        <v>2</v>
      </c>
      <c r="D23" s="4">
        <v>7</v>
      </c>
    </row>
    <row r="24" spans="1:4">
      <c r="A24" s="4">
        <v>1</v>
      </c>
      <c r="B24">
        <v>2</v>
      </c>
      <c r="C24">
        <v>2</v>
      </c>
      <c r="D24" s="4">
        <v>7</v>
      </c>
    </row>
    <row r="25" spans="1:4">
      <c r="A25" s="4">
        <v>1</v>
      </c>
      <c r="B25">
        <v>3</v>
      </c>
      <c r="C25">
        <v>2</v>
      </c>
      <c r="D25" s="4">
        <v>7</v>
      </c>
    </row>
    <row r="26" spans="1:4">
      <c r="A26" s="4">
        <v>4</v>
      </c>
      <c r="B26">
        <v>1</v>
      </c>
      <c r="C26">
        <v>1</v>
      </c>
      <c r="D26" s="4">
        <v>7.22</v>
      </c>
    </row>
    <row r="27" spans="1:4">
      <c r="A27" s="4">
        <v>4</v>
      </c>
      <c r="B27">
        <v>2</v>
      </c>
      <c r="C27">
        <v>1</v>
      </c>
      <c r="D27" s="4">
        <v>7.22</v>
      </c>
    </row>
    <row r="28" spans="1:4">
      <c r="A28" s="4">
        <v>4</v>
      </c>
      <c r="B28">
        <v>3</v>
      </c>
      <c r="C28">
        <v>1</v>
      </c>
      <c r="D28" s="4">
        <v>7.22</v>
      </c>
    </row>
    <row r="29" spans="1:4">
      <c r="A29" s="4">
        <v>5</v>
      </c>
      <c r="B29">
        <v>1</v>
      </c>
      <c r="C29">
        <v>2</v>
      </c>
      <c r="D29" s="4">
        <v>2.5099999999999998</v>
      </c>
    </row>
    <row r="30" spans="1:4">
      <c r="A30" s="4">
        <v>5</v>
      </c>
      <c r="B30">
        <v>2</v>
      </c>
      <c r="C30">
        <v>2</v>
      </c>
      <c r="D30" s="4">
        <v>2.5099999999999998</v>
      </c>
    </row>
    <row r="31" spans="1:4">
      <c r="A31" s="4">
        <v>5</v>
      </c>
      <c r="B31">
        <v>3</v>
      </c>
      <c r="C31">
        <v>2</v>
      </c>
      <c r="D31" s="4">
        <v>2.5099999999999998</v>
      </c>
    </row>
    <row r="32" spans="1:4">
      <c r="A32" s="4">
        <v>7</v>
      </c>
      <c r="B32">
        <v>1</v>
      </c>
      <c r="C32">
        <v>1</v>
      </c>
      <c r="D32" s="12">
        <v>6.5</v>
      </c>
    </row>
    <row r="33" spans="1:4">
      <c r="A33" s="4">
        <v>7</v>
      </c>
      <c r="B33">
        <v>2</v>
      </c>
      <c r="C33">
        <v>1</v>
      </c>
      <c r="D33" s="12">
        <v>6.5</v>
      </c>
    </row>
    <row r="34" spans="1:4">
      <c r="A34" s="4">
        <v>7</v>
      </c>
      <c r="B34">
        <v>3</v>
      </c>
      <c r="C34">
        <v>1</v>
      </c>
      <c r="D34" s="12">
        <v>6.5</v>
      </c>
    </row>
    <row r="35" spans="1:4">
      <c r="A35" s="4">
        <v>8</v>
      </c>
      <c r="B35">
        <v>1</v>
      </c>
      <c r="C35">
        <v>2</v>
      </c>
      <c r="D35" s="12">
        <v>2.77</v>
      </c>
    </row>
    <row r="36" spans="1:4">
      <c r="A36" s="4">
        <v>8</v>
      </c>
      <c r="B36">
        <v>2</v>
      </c>
      <c r="C36">
        <v>2</v>
      </c>
      <c r="D36" s="12">
        <v>2.74</v>
      </c>
    </row>
    <row r="37" spans="1:4">
      <c r="A37" s="4">
        <v>8</v>
      </c>
      <c r="B37">
        <v>3</v>
      </c>
      <c r="C37">
        <v>2</v>
      </c>
      <c r="D37" s="12">
        <v>2.71</v>
      </c>
    </row>
    <row r="38" spans="1:4">
      <c r="A38" s="4">
        <v>9</v>
      </c>
      <c r="B38">
        <v>1</v>
      </c>
      <c r="C38">
        <v>2</v>
      </c>
      <c r="D38" s="10">
        <v>5.34</v>
      </c>
    </row>
    <row r="39" spans="1:4">
      <c r="A39" s="4">
        <v>9</v>
      </c>
      <c r="B39">
        <v>2</v>
      </c>
      <c r="C39">
        <v>2</v>
      </c>
      <c r="D39" s="10">
        <v>5.38</v>
      </c>
    </row>
    <row r="40" spans="1:4">
      <c r="A40" s="4">
        <v>9</v>
      </c>
      <c r="B40">
        <v>3</v>
      </c>
      <c r="C40">
        <v>2</v>
      </c>
      <c r="D40" s="10">
        <v>5.34</v>
      </c>
    </row>
    <row r="41" spans="1:4">
      <c r="A41" s="4">
        <v>10</v>
      </c>
      <c r="B41">
        <v>1</v>
      </c>
      <c r="C41">
        <v>2</v>
      </c>
      <c r="D41" s="4">
        <v>5.98</v>
      </c>
    </row>
    <row r="42" spans="1:4">
      <c r="A42" s="4">
        <v>10</v>
      </c>
      <c r="B42">
        <v>2</v>
      </c>
      <c r="C42">
        <v>2</v>
      </c>
      <c r="D42" s="4">
        <v>5.98</v>
      </c>
    </row>
    <row r="43" spans="1:4">
      <c r="A43" s="4">
        <v>10</v>
      </c>
      <c r="B43">
        <v>3</v>
      </c>
      <c r="C43">
        <v>2</v>
      </c>
      <c r="D43" s="4">
        <v>5.98</v>
      </c>
    </row>
    <row r="44" spans="1:4">
      <c r="A44" s="4">
        <v>11</v>
      </c>
      <c r="B44">
        <v>1</v>
      </c>
      <c r="C44">
        <v>2</v>
      </c>
      <c r="D44" s="4">
        <v>6.11</v>
      </c>
    </row>
    <row r="45" spans="1:4">
      <c r="A45" s="4">
        <v>11</v>
      </c>
      <c r="B45">
        <v>2</v>
      </c>
      <c r="C45">
        <v>2</v>
      </c>
      <c r="D45" s="4">
        <v>6.11</v>
      </c>
    </row>
    <row r="46" spans="1:4">
      <c r="A46" s="4">
        <v>11</v>
      </c>
      <c r="B46">
        <v>3</v>
      </c>
      <c r="C46">
        <v>2</v>
      </c>
      <c r="D46" s="4">
        <v>6.11</v>
      </c>
    </row>
    <row r="47" spans="1:4">
      <c r="A47" s="4">
        <v>12</v>
      </c>
      <c r="B47">
        <v>1</v>
      </c>
      <c r="C47">
        <v>2</v>
      </c>
      <c r="D47" s="4">
        <v>1.76</v>
      </c>
    </row>
    <row r="48" spans="1:4">
      <c r="A48" s="4">
        <v>12</v>
      </c>
      <c r="B48">
        <v>2</v>
      </c>
      <c r="C48">
        <v>2</v>
      </c>
      <c r="D48" s="4">
        <v>1.76</v>
      </c>
    </row>
    <row r="49" spans="1:4">
      <c r="A49" s="4">
        <v>12</v>
      </c>
      <c r="B49">
        <v>3</v>
      </c>
      <c r="C49">
        <v>2</v>
      </c>
      <c r="D49" s="4">
        <v>1.76</v>
      </c>
    </row>
    <row r="50" spans="1:4">
      <c r="A50" s="4">
        <v>13</v>
      </c>
      <c r="B50">
        <v>1</v>
      </c>
      <c r="C50">
        <v>1</v>
      </c>
      <c r="D50" s="4">
        <v>7</v>
      </c>
    </row>
    <row r="51" spans="1:4">
      <c r="A51" s="4">
        <v>13</v>
      </c>
      <c r="B51">
        <v>2</v>
      </c>
      <c r="C51">
        <v>1</v>
      </c>
      <c r="D51" s="4">
        <v>7</v>
      </c>
    </row>
    <row r="52" spans="1:4">
      <c r="A52" s="4">
        <v>13</v>
      </c>
      <c r="B52">
        <v>3</v>
      </c>
      <c r="C52">
        <v>1</v>
      </c>
      <c r="D52" s="4">
        <v>7</v>
      </c>
    </row>
    <row r="53" spans="1:4">
      <c r="A53" s="4">
        <v>14</v>
      </c>
      <c r="B53">
        <v>1</v>
      </c>
      <c r="C53">
        <v>1</v>
      </c>
      <c r="D53" s="4">
        <v>6.78</v>
      </c>
    </row>
    <row r="54" spans="1:4">
      <c r="A54" s="4">
        <v>14</v>
      </c>
      <c r="B54">
        <v>2</v>
      </c>
      <c r="C54">
        <v>1</v>
      </c>
      <c r="D54" s="4">
        <v>6.78</v>
      </c>
    </row>
    <row r="55" spans="1:4">
      <c r="A55" s="4">
        <v>14</v>
      </c>
      <c r="B55">
        <v>3</v>
      </c>
      <c r="C55">
        <v>1</v>
      </c>
      <c r="D55" s="4">
        <v>6.78</v>
      </c>
    </row>
    <row r="56" spans="1:4">
      <c r="A56" s="4">
        <v>15</v>
      </c>
      <c r="B56">
        <v>1</v>
      </c>
      <c r="C56">
        <v>2</v>
      </c>
      <c r="D56" s="12">
        <v>6.14</v>
      </c>
    </row>
    <row r="57" spans="1:4">
      <c r="A57" s="4">
        <v>15</v>
      </c>
      <c r="B57">
        <v>2</v>
      </c>
      <c r="C57">
        <v>2</v>
      </c>
      <c r="D57" s="12">
        <v>6.14</v>
      </c>
    </row>
    <row r="58" spans="1:4">
      <c r="A58" s="4">
        <v>15</v>
      </c>
      <c r="B58">
        <v>3</v>
      </c>
      <c r="C58">
        <v>2</v>
      </c>
      <c r="D58" s="12">
        <v>6.14</v>
      </c>
    </row>
    <row r="59" spans="1:4">
      <c r="A59" s="4">
        <v>16</v>
      </c>
      <c r="B59">
        <v>1</v>
      </c>
      <c r="C59">
        <v>2</v>
      </c>
      <c r="D59" s="4">
        <v>5.43</v>
      </c>
    </row>
    <row r="60" spans="1:4">
      <c r="A60" s="4">
        <v>16</v>
      </c>
      <c r="B60">
        <v>2</v>
      </c>
      <c r="C60">
        <v>2</v>
      </c>
      <c r="D60" s="4">
        <v>5.47</v>
      </c>
    </row>
    <row r="61" spans="1:4">
      <c r="A61" s="4">
        <v>16</v>
      </c>
      <c r="B61">
        <v>3</v>
      </c>
      <c r="C61">
        <v>2</v>
      </c>
      <c r="D61" s="4">
        <v>5.5</v>
      </c>
    </row>
    <row r="62" spans="1:4">
      <c r="A62" s="4">
        <v>17</v>
      </c>
      <c r="B62">
        <v>1</v>
      </c>
      <c r="C62">
        <v>1</v>
      </c>
      <c r="D62" s="11">
        <v>8.2899999999999991</v>
      </c>
    </row>
    <row r="63" spans="1:4">
      <c r="A63" s="4">
        <v>17</v>
      </c>
      <c r="B63">
        <v>2</v>
      </c>
      <c r="C63">
        <v>1</v>
      </c>
      <c r="D63" s="11">
        <v>8.2899999999999991</v>
      </c>
    </row>
    <row r="64" spans="1:4">
      <c r="A64" s="4">
        <v>17</v>
      </c>
      <c r="B64">
        <v>3</v>
      </c>
      <c r="C64">
        <v>1</v>
      </c>
      <c r="D64" s="11">
        <v>8.2899999999999991</v>
      </c>
    </row>
    <row r="65" spans="1:4">
      <c r="A65" s="4">
        <v>18</v>
      </c>
      <c r="B65">
        <v>1</v>
      </c>
      <c r="C65">
        <v>2</v>
      </c>
      <c r="D65" s="4">
        <v>3.58</v>
      </c>
    </row>
    <row r="66" spans="1:4">
      <c r="A66" s="4">
        <v>18</v>
      </c>
      <c r="B66">
        <v>2</v>
      </c>
      <c r="C66">
        <v>2</v>
      </c>
      <c r="D66" s="4">
        <v>3.58</v>
      </c>
    </row>
    <row r="67" spans="1:4">
      <c r="A67" s="4">
        <v>18</v>
      </c>
      <c r="B67">
        <v>3</v>
      </c>
      <c r="C67">
        <v>2</v>
      </c>
      <c r="D67" s="4">
        <v>3.58</v>
      </c>
    </row>
    <row r="68" spans="1:4">
      <c r="A68" s="4">
        <v>19</v>
      </c>
      <c r="B68">
        <v>1</v>
      </c>
      <c r="C68">
        <v>2</v>
      </c>
      <c r="D68" s="4">
        <v>5.64</v>
      </c>
    </row>
    <row r="69" spans="1:4">
      <c r="A69" s="4">
        <v>19</v>
      </c>
      <c r="B69">
        <v>2</v>
      </c>
      <c r="C69">
        <v>2</v>
      </c>
      <c r="D69" s="4">
        <v>5.64</v>
      </c>
    </row>
    <row r="70" spans="1:4">
      <c r="A70" s="4">
        <v>19</v>
      </c>
      <c r="B70">
        <v>3</v>
      </c>
      <c r="C70">
        <v>2</v>
      </c>
      <c r="D70" s="4">
        <v>5.64</v>
      </c>
    </row>
    <row r="71" spans="1:4">
      <c r="A71" s="4">
        <v>22</v>
      </c>
      <c r="B71">
        <v>1</v>
      </c>
      <c r="C71">
        <v>2</v>
      </c>
      <c r="D71" s="12">
        <v>7.01</v>
      </c>
    </row>
    <row r="72" spans="1:4">
      <c r="A72" s="4">
        <v>22</v>
      </c>
      <c r="B72">
        <v>2</v>
      </c>
      <c r="C72">
        <v>2</v>
      </c>
      <c r="D72" s="12">
        <v>7.02</v>
      </c>
    </row>
    <row r="73" spans="1:4">
      <c r="A73" s="4">
        <v>22</v>
      </c>
      <c r="B73">
        <v>3</v>
      </c>
      <c r="C73">
        <v>2</v>
      </c>
      <c r="D73" s="12">
        <v>7.03</v>
      </c>
    </row>
    <row r="74" spans="1:4">
      <c r="A74" s="4">
        <v>23</v>
      </c>
      <c r="B74">
        <v>1</v>
      </c>
      <c r="C74">
        <v>1</v>
      </c>
      <c r="D74" s="4">
        <v>7.48</v>
      </c>
    </row>
    <row r="75" spans="1:4">
      <c r="A75" s="4">
        <v>23</v>
      </c>
      <c r="B75">
        <v>2</v>
      </c>
      <c r="C75">
        <v>1</v>
      </c>
      <c r="D75" s="4">
        <v>7.48</v>
      </c>
    </row>
    <row r="76" spans="1:4">
      <c r="A76" s="4">
        <v>23</v>
      </c>
      <c r="B76">
        <v>3</v>
      </c>
      <c r="C76">
        <v>1</v>
      </c>
      <c r="D76" s="4">
        <v>7.48</v>
      </c>
    </row>
    <row r="77" spans="1:4">
      <c r="A77" s="4">
        <v>24</v>
      </c>
      <c r="B77">
        <v>1</v>
      </c>
      <c r="C77">
        <v>2</v>
      </c>
      <c r="D77" s="4">
        <v>6.85</v>
      </c>
    </row>
    <row r="78" spans="1:4">
      <c r="A78" s="4">
        <v>24</v>
      </c>
      <c r="B78">
        <v>2</v>
      </c>
      <c r="C78">
        <v>2</v>
      </c>
      <c r="D78" s="4">
        <v>6.85</v>
      </c>
    </row>
    <row r="79" spans="1:4">
      <c r="A79" s="4">
        <v>24</v>
      </c>
      <c r="B79">
        <v>3</v>
      </c>
      <c r="C79">
        <v>2</v>
      </c>
      <c r="D79" s="4">
        <v>6.85</v>
      </c>
    </row>
    <row r="80" spans="1:4">
      <c r="A80" s="4">
        <v>25</v>
      </c>
      <c r="B80">
        <v>1</v>
      </c>
      <c r="C80">
        <v>2</v>
      </c>
      <c r="D80" s="4">
        <v>7.58</v>
      </c>
    </row>
    <row r="81" spans="1:4">
      <c r="A81" s="4">
        <v>25</v>
      </c>
      <c r="B81">
        <v>2</v>
      </c>
      <c r="C81">
        <v>2</v>
      </c>
      <c r="D81" s="4">
        <v>7.58</v>
      </c>
    </row>
    <row r="82" spans="1:4">
      <c r="A82" s="4">
        <v>25</v>
      </c>
      <c r="B82">
        <v>3</v>
      </c>
      <c r="C82">
        <v>2</v>
      </c>
      <c r="D82" s="4">
        <v>7.58</v>
      </c>
    </row>
    <row r="83" spans="1:4">
      <c r="A83" s="4">
        <v>26</v>
      </c>
      <c r="B83">
        <v>1</v>
      </c>
      <c r="C83">
        <v>2</v>
      </c>
      <c r="D83" s="4">
        <v>6.55</v>
      </c>
    </row>
    <row r="84" spans="1:4">
      <c r="A84" s="4">
        <v>26</v>
      </c>
      <c r="B84">
        <v>2</v>
      </c>
      <c r="C84">
        <v>2</v>
      </c>
      <c r="D84" s="4">
        <v>6.55</v>
      </c>
    </row>
    <row r="85" spans="1:4">
      <c r="A85" s="4">
        <v>26</v>
      </c>
      <c r="B85">
        <v>3</v>
      </c>
      <c r="C85">
        <v>2</v>
      </c>
      <c r="D85" s="4">
        <v>6.55</v>
      </c>
    </row>
    <row r="86" spans="1:4">
      <c r="A86" s="4">
        <v>29</v>
      </c>
      <c r="B86">
        <v>1</v>
      </c>
      <c r="C86">
        <v>2</v>
      </c>
      <c r="D86" s="12">
        <v>6.11</v>
      </c>
    </row>
    <row r="87" spans="1:4">
      <c r="A87" s="4">
        <v>29</v>
      </c>
      <c r="B87">
        <v>2</v>
      </c>
      <c r="C87">
        <v>2</v>
      </c>
      <c r="D87" s="12">
        <v>6.08</v>
      </c>
    </row>
    <row r="88" spans="1:4">
      <c r="A88" s="4">
        <v>29</v>
      </c>
      <c r="B88">
        <v>3</v>
      </c>
      <c r="C88">
        <v>2</v>
      </c>
      <c r="D88" s="12">
        <v>6.05</v>
      </c>
    </row>
    <row r="89" spans="1:4">
      <c r="A89" s="4">
        <v>31</v>
      </c>
      <c r="B89">
        <v>1</v>
      </c>
      <c r="C89">
        <v>2</v>
      </c>
      <c r="D89" s="4">
        <v>6.8</v>
      </c>
    </row>
    <row r="90" spans="1:4">
      <c r="A90" s="4">
        <v>31</v>
      </c>
      <c r="B90">
        <v>2</v>
      </c>
      <c r="C90">
        <v>2</v>
      </c>
      <c r="D90" s="4">
        <v>6.8</v>
      </c>
    </row>
    <row r="91" spans="1:4">
      <c r="A91" s="4">
        <v>31</v>
      </c>
      <c r="B91">
        <v>3</v>
      </c>
      <c r="C91">
        <v>2</v>
      </c>
      <c r="D91" s="4">
        <v>6.8</v>
      </c>
    </row>
    <row r="92" spans="1:4">
      <c r="A92" s="4">
        <v>32</v>
      </c>
      <c r="B92">
        <v>1</v>
      </c>
      <c r="C92">
        <v>2</v>
      </c>
      <c r="D92" s="4">
        <v>7</v>
      </c>
    </row>
    <row r="93" spans="1:4">
      <c r="A93" s="4">
        <v>32</v>
      </c>
      <c r="B93">
        <v>2</v>
      </c>
      <c r="C93">
        <v>2</v>
      </c>
      <c r="D93" s="4">
        <v>7</v>
      </c>
    </row>
    <row r="94" spans="1:4">
      <c r="A94" s="4">
        <v>32</v>
      </c>
      <c r="B94">
        <v>3</v>
      </c>
      <c r="C94">
        <v>2</v>
      </c>
      <c r="D94" s="4">
        <v>7</v>
      </c>
    </row>
    <row r="95" spans="1:4">
      <c r="A95" s="4">
        <v>33</v>
      </c>
      <c r="B95">
        <v>1</v>
      </c>
      <c r="C95">
        <v>2</v>
      </c>
      <c r="D95" s="4">
        <v>5.0999999999999996</v>
      </c>
    </row>
    <row r="96" spans="1:4">
      <c r="A96" s="4">
        <v>33</v>
      </c>
      <c r="B96">
        <v>2</v>
      </c>
      <c r="C96">
        <v>2</v>
      </c>
      <c r="D96" s="4">
        <v>5.0999999999999996</v>
      </c>
    </row>
    <row r="97" spans="1:4">
      <c r="A97" s="4">
        <v>33</v>
      </c>
      <c r="B97">
        <v>3</v>
      </c>
      <c r="C97">
        <v>2</v>
      </c>
      <c r="D97" s="4">
        <v>5.0999999999999996</v>
      </c>
    </row>
    <row r="98" spans="1:4">
      <c r="A98" s="4">
        <v>34</v>
      </c>
      <c r="B98">
        <v>1</v>
      </c>
      <c r="C98">
        <v>2</v>
      </c>
      <c r="D98" s="4">
        <v>4.5</v>
      </c>
    </row>
    <row r="99" spans="1:4">
      <c r="A99" s="4">
        <v>34</v>
      </c>
      <c r="B99">
        <v>2</v>
      </c>
      <c r="C99">
        <v>2</v>
      </c>
      <c r="D99" s="4">
        <v>4.5</v>
      </c>
    </row>
    <row r="100" spans="1:4">
      <c r="A100" s="4">
        <v>34</v>
      </c>
      <c r="B100">
        <v>3</v>
      </c>
      <c r="C100">
        <v>2</v>
      </c>
      <c r="D100" s="4">
        <v>4.5</v>
      </c>
    </row>
    <row r="101" spans="1:4">
      <c r="A101" s="4">
        <v>35</v>
      </c>
      <c r="B101">
        <v>1</v>
      </c>
      <c r="C101">
        <v>2</v>
      </c>
      <c r="D101" s="4">
        <v>6.8</v>
      </c>
    </row>
    <row r="102" spans="1:4">
      <c r="A102" s="4">
        <v>35</v>
      </c>
      <c r="B102">
        <v>2</v>
      </c>
      <c r="C102">
        <v>2</v>
      </c>
      <c r="D102" s="4">
        <v>6.8</v>
      </c>
    </row>
    <row r="103" spans="1:4">
      <c r="A103" s="4">
        <v>35</v>
      </c>
      <c r="B103">
        <v>3</v>
      </c>
      <c r="C103">
        <v>2</v>
      </c>
      <c r="D103" s="4">
        <v>6.8</v>
      </c>
    </row>
    <row r="104" spans="1:4">
      <c r="A104" s="4">
        <v>36</v>
      </c>
      <c r="B104">
        <v>1</v>
      </c>
      <c r="C104">
        <v>2</v>
      </c>
      <c r="D104" s="4">
        <v>6.1</v>
      </c>
    </row>
    <row r="105" spans="1:4">
      <c r="A105" s="4">
        <v>36</v>
      </c>
      <c r="B105">
        <v>2</v>
      </c>
      <c r="C105">
        <v>2</v>
      </c>
      <c r="D105" s="4">
        <v>6.1</v>
      </c>
    </row>
    <row r="106" spans="1:4">
      <c r="A106" s="4">
        <v>36</v>
      </c>
      <c r="B106">
        <v>3</v>
      </c>
      <c r="C106">
        <v>2</v>
      </c>
      <c r="D106" s="4">
        <v>6.1</v>
      </c>
    </row>
    <row r="107" spans="1:4">
      <c r="A107" s="13">
        <v>38</v>
      </c>
      <c r="B107">
        <v>1</v>
      </c>
      <c r="C107">
        <v>2</v>
      </c>
      <c r="D107" s="13">
        <v>6.85</v>
      </c>
    </row>
    <row r="108" spans="1:4">
      <c r="A108" s="13">
        <v>38</v>
      </c>
      <c r="B108">
        <v>2</v>
      </c>
      <c r="C108">
        <v>2</v>
      </c>
      <c r="D108" s="13">
        <v>6.85</v>
      </c>
    </row>
    <row r="109" spans="1:4">
      <c r="A109" s="13">
        <v>38</v>
      </c>
      <c r="B109">
        <v>3</v>
      </c>
      <c r="C109">
        <v>2</v>
      </c>
      <c r="D109" s="13">
        <v>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sampel_air</vt:lpstr>
      <vt:lpstr>turbidity</vt:lpstr>
      <vt:lpstr>ML turbidity</vt:lpstr>
      <vt:lpstr>pH</vt:lpstr>
      <vt:lpstr>ML 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3i</dc:creator>
  <cp:lastModifiedBy>Reviewer</cp:lastModifiedBy>
  <dcterms:created xsi:type="dcterms:W3CDTF">2026-09-11T09:48:24Z</dcterms:created>
  <dcterms:modified xsi:type="dcterms:W3CDTF">2026-09-26T06:53:55Z</dcterms:modified>
</cp:coreProperties>
</file>