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P Tambang Kaltim 2026\data perjalanan 1 (agustus 2026)\"/>
    </mc:Choice>
  </mc:AlternateContent>
  <xr:revisionPtr revIDLastSave="0" documentId="13_ncr:1_{B7222DAC-AC6B-4B6B-BA40-D1A80F940A1F}" xr6:coauthVersionLast="47" xr6:coauthVersionMax="47" xr10:uidLastSave="{00000000-0000-0000-0000-000000000000}"/>
  <bookViews>
    <workbookView xWindow="-110" yWindow="-110" windowWidth="19420" windowHeight="10300" firstSheet="2" activeTab="2" xr2:uid="{F00A3E41-50D0-4FC7-8BC3-F95CCE5E1E59}"/>
  </bookViews>
  <sheets>
    <sheet name="data mentah dose CaO" sheetId="1" r:id="rId1"/>
    <sheet name="avergae dose CaO" sheetId="8" r:id="rId2"/>
    <sheet name="average dose al2 SO4 3" sheetId="9" r:id="rId3"/>
    <sheet name="data CaO potong untuk GPT" sheetId="2" r:id="rId4"/>
    <sheet name="calculated marginal dose CaO" sheetId="3" r:id="rId5"/>
    <sheet name="turb raw data" sheetId="5" r:id="rId6"/>
    <sheet name="average also42 dose" sheetId="6" r:id="rId7"/>
    <sheet name="turb-dose response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3" i="6" l="1"/>
  <c r="AH4" i="6"/>
  <c r="AH5" i="6"/>
  <c r="AH6" i="6"/>
  <c r="AH7" i="6"/>
  <c r="AH8" i="6"/>
  <c r="AH9" i="6"/>
  <c r="AH10" i="6"/>
  <c r="AH11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2" i="6"/>
  <c r="AG3" i="6"/>
  <c r="AG4" i="6"/>
  <c r="AG5" i="6"/>
  <c r="AG6" i="6"/>
  <c r="AG7" i="6"/>
  <c r="AG8" i="6"/>
  <c r="AG9" i="6"/>
  <c r="AG10" i="6"/>
  <c r="AG11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2" i="6"/>
  <c r="AF51" i="6"/>
  <c r="AF52" i="6"/>
  <c r="AF50" i="6"/>
  <c r="AF48" i="6"/>
  <c r="AF49" i="6"/>
  <c r="AF47" i="6"/>
  <c r="AF46" i="6"/>
  <c r="AF38" i="6"/>
  <c r="AF39" i="6"/>
  <c r="AF40" i="6"/>
  <c r="AF41" i="6"/>
  <c r="AF42" i="6"/>
  <c r="AF43" i="6"/>
  <c r="AF44" i="6"/>
  <c r="AF45" i="6"/>
  <c r="AF37" i="6"/>
  <c r="AF36" i="6"/>
  <c r="AF35" i="6"/>
  <c r="AF33" i="6"/>
  <c r="AF34" i="6"/>
  <c r="AF32" i="6"/>
  <c r="AF30" i="6"/>
  <c r="AF31" i="6"/>
  <c r="AF29" i="6"/>
  <c r="AF28" i="6"/>
  <c r="AF27" i="6"/>
  <c r="AF25" i="6"/>
  <c r="AF26" i="6"/>
  <c r="AF24" i="6"/>
  <c r="AF23" i="6"/>
  <c r="AF22" i="6"/>
  <c r="AF21" i="6"/>
  <c r="AF20" i="6"/>
  <c r="AF18" i="6"/>
  <c r="AF19" i="6"/>
  <c r="AF17" i="6"/>
  <c r="AF14" i="6"/>
  <c r="AF15" i="6"/>
  <c r="AF16" i="6"/>
  <c r="AF13" i="6"/>
  <c r="AF11" i="6"/>
  <c r="AF10" i="6"/>
  <c r="AF8" i="6"/>
  <c r="AF9" i="6"/>
  <c r="AF7" i="6"/>
  <c r="AF3" i="6"/>
  <c r="AF4" i="6"/>
  <c r="AF5" i="6"/>
  <c r="AF6" i="6"/>
  <c r="AF2" i="6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2" i="6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2" i="8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2" i="1"/>
  <c r="G3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2" i="7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2" i="6"/>
  <c r="F3" i="6"/>
  <c r="F4" i="6"/>
  <c r="F5" i="6"/>
  <c r="F6" i="6"/>
  <c r="F2" i="6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2" i="3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F53" i="2"/>
  <c r="G35" i="2"/>
  <c r="G36" i="2"/>
  <c r="G37" i="2"/>
  <c r="G38" i="2"/>
  <c r="G39" i="2"/>
  <c r="G40" i="2"/>
  <c r="G41" i="2"/>
  <c r="G32" i="2"/>
  <c r="G33" i="2"/>
  <c r="G34" i="2"/>
  <c r="G31" i="2"/>
  <c r="G30" i="2"/>
  <c r="G29" i="2"/>
  <c r="G25" i="2"/>
  <c r="G26" i="2"/>
  <c r="G27" i="2"/>
  <c r="G28" i="2"/>
  <c r="G24" i="2"/>
  <c r="G14" i="2"/>
  <c r="G15" i="2"/>
  <c r="G16" i="2"/>
  <c r="G17" i="2"/>
  <c r="G18" i="2"/>
  <c r="G19" i="2"/>
  <c r="G20" i="2"/>
  <c r="G21" i="2"/>
  <c r="G22" i="2"/>
  <c r="G23" i="2"/>
  <c r="F20" i="2"/>
  <c r="F21" i="2"/>
  <c r="F22" i="2"/>
  <c r="F23" i="2"/>
  <c r="F19" i="2"/>
  <c r="G12" i="2"/>
  <c r="G13" i="2"/>
  <c r="F12" i="2"/>
  <c r="F13" i="2"/>
  <c r="G3" i="2"/>
  <c r="G4" i="2"/>
  <c r="G5" i="2"/>
  <c r="G6" i="2"/>
  <c r="G7" i="2"/>
  <c r="G8" i="2"/>
  <c r="G9" i="2"/>
  <c r="G10" i="2"/>
  <c r="G11" i="2"/>
  <c r="G2" i="2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<sst xmlns="http://schemas.openxmlformats.org/spreadsheetml/2006/main" count="681" uniqueCount="87">
  <si>
    <t>No</t>
  </si>
  <si>
    <t>Sampel ID</t>
  </si>
  <si>
    <t>pH0</t>
  </si>
  <si>
    <t>Dose1</t>
  </si>
  <si>
    <t>pH1</t>
  </si>
  <si>
    <t>marginaldose1</t>
  </si>
  <si>
    <t>Dose2</t>
  </si>
  <si>
    <t>pH2</t>
  </si>
  <si>
    <t>marginaldose3</t>
  </si>
  <si>
    <t>Dose3</t>
  </si>
  <si>
    <t>pH3</t>
  </si>
  <si>
    <t>Dose4</t>
  </si>
  <si>
    <t>pH4</t>
  </si>
  <si>
    <t>marginaldose4</t>
  </si>
  <si>
    <t>Total dose</t>
  </si>
  <si>
    <t>totaldelta pH</t>
  </si>
  <si>
    <t>SA12 Pegat Ukur</t>
  </si>
  <si>
    <t>-</t>
  </si>
  <si>
    <t>SA 2 Merata</t>
  </si>
  <si>
    <t>SA Tambang Sokan</t>
  </si>
  <si>
    <t>Teluk Bayur BJU</t>
  </si>
  <si>
    <t>SA 5 Kalimarau</t>
  </si>
  <si>
    <t>deltapH</t>
  </si>
  <si>
    <t>marginaldose</t>
  </si>
  <si>
    <t>Hulu Segah</t>
  </si>
  <si>
    <t>7.15</t>
  </si>
  <si>
    <t>7.18</t>
  </si>
  <si>
    <t>7.14</t>
  </si>
  <si>
    <t>Jembatan Kelai</t>
  </si>
  <si>
    <t>Jembatan Babanjir</t>
  </si>
  <si>
    <t>2.53</t>
  </si>
  <si>
    <t>3.61</t>
  </si>
  <si>
    <t>7.1</t>
  </si>
  <si>
    <t>2.83</t>
  </si>
  <si>
    <t>3.8</t>
  </si>
  <si>
    <t>7.01</t>
  </si>
  <si>
    <t>2.87</t>
  </si>
  <si>
    <t>4.1</t>
  </si>
  <si>
    <t>SA 17</t>
  </si>
  <si>
    <t>7.97</t>
  </si>
  <si>
    <t>5.93</t>
  </si>
  <si>
    <t>7.00</t>
  </si>
  <si>
    <t>6.23</t>
  </si>
  <si>
    <t>Tumbit Melayu</t>
  </si>
  <si>
    <t>Rantau Panjang</t>
  </si>
  <si>
    <t>Sungai Agung</t>
  </si>
  <si>
    <t>Parit Sambarata</t>
  </si>
  <si>
    <t>Calculated marginal dose</t>
  </si>
  <si>
    <t>8.3313, b is 1.4243, and  K=2.7208</t>
  </si>
  <si>
    <t>Turb0</t>
  </si>
  <si>
    <t>Dose1 (g/L)</t>
  </si>
  <si>
    <t>Turb1</t>
  </si>
  <si>
    <t>Turb2</t>
  </si>
  <si>
    <t>Turb3</t>
  </si>
  <si>
    <t>Turb4</t>
  </si>
  <si>
    <t>Dose 5</t>
  </si>
  <si>
    <t>Turb5</t>
  </si>
  <si>
    <t>Dose 6</t>
  </si>
  <si>
    <t>Turb 6</t>
  </si>
  <si>
    <t>SA12 Pegat Bukur</t>
  </si>
  <si>
    <t>SA2 Merata</t>
  </si>
  <si>
    <t>Jembatan Babanir</t>
  </si>
  <si>
    <t>14.7</t>
  </si>
  <si>
    <t>3.5</t>
  </si>
  <si>
    <t>13.6</t>
  </si>
  <si>
    <t>2.8</t>
  </si>
  <si>
    <t>0.9</t>
  </si>
  <si>
    <t>5.7</t>
  </si>
  <si>
    <t>1.6</t>
  </si>
  <si>
    <t>0.7</t>
  </si>
  <si>
    <t>0.8</t>
  </si>
  <si>
    <t>0.6</t>
  </si>
  <si>
    <t>Tumbit dayak</t>
  </si>
  <si>
    <t>SP Berau Coal</t>
  </si>
  <si>
    <t>delta turb</t>
  </si>
  <si>
    <t>SA 18</t>
  </si>
  <si>
    <t>SA 19</t>
  </si>
  <si>
    <t>Dose1 (mg/L)</t>
  </si>
  <si>
    <t>Delta_pH</t>
  </si>
  <si>
    <t>MD_pH</t>
  </si>
  <si>
    <t>Average_dose_per_pH</t>
  </si>
  <si>
    <t>Aerage dose</t>
  </si>
  <si>
    <t>average dose</t>
  </si>
  <si>
    <t>Average dose</t>
  </si>
  <si>
    <t>total dose</t>
  </si>
  <si>
    <t>total delta turb</t>
  </si>
  <si>
    <t>mg/L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</si>
</sst>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"/>
      <family val="2"/>
    </font>
    <font>
      <sz val="8"/>
      <name val="Aptos Narrow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3" fillId="4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'calculated marginal dose CaO'!$C$1</c:f>
              <c:strCache>
                <c:ptCount val="1"/>
                <c:pt idx="0">
                  <c:v>pH0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'calculated marginal dose CaO'!$C$2:$C$86</c:f>
              <c:numCache>
                <c:formatCode>General</c:formatCode>
                <c:ptCount val="85"/>
                <c:pt idx="0">
                  <c:v>3.58</c:v>
                </c:pt>
                <c:pt idx="1">
                  <c:v>3.3</c:v>
                </c:pt>
                <c:pt idx="2">
                  <c:v>3.26</c:v>
                </c:pt>
                <c:pt idx="3">
                  <c:v>3.24</c:v>
                </c:pt>
                <c:pt idx="4">
                  <c:v>3.19</c:v>
                </c:pt>
                <c:pt idx="5">
                  <c:v>5.51</c:v>
                </c:pt>
                <c:pt idx="6">
                  <c:v>5.26</c:v>
                </c:pt>
                <c:pt idx="7">
                  <c:v>4.93</c:v>
                </c:pt>
                <c:pt idx="8">
                  <c:v>4.18</c:v>
                </c:pt>
                <c:pt idx="9">
                  <c:v>5.25</c:v>
                </c:pt>
                <c:pt idx="10">
                  <c:v>6.56</c:v>
                </c:pt>
                <c:pt idx="11">
                  <c:v>6.64</c:v>
                </c:pt>
                <c:pt idx="12">
                  <c:v>3.41</c:v>
                </c:pt>
                <c:pt idx="13">
                  <c:v>3.53</c:v>
                </c:pt>
                <c:pt idx="14">
                  <c:v>3.59</c:v>
                </c:pt>
                <c:pt idx="15">
                  <c:v>3.78</c:v>
                </c:pt>
                <c:pt idx="16">
                  <c:v>4.0199999999999996</c:v>
                </c:pt>
                <c:pt idx="17">
                  <c:v>3.76</c:v>
                </c:pt>
                <c:pt idx="18">
                  <c:v>3.68</c:v>
                </c:pt>
                <c:pt idx="19">
                  <c:v>4.13</c:v>
                </c:pt>
                <c:pt idx="20">
                  <c:v>3.71</c:v>
                </c:pt>
                <c:pt idx="21">
                  <c:v>1.99</c:v>
                </c:pt>
                <c:pt idx="22">
                  <c:v>2.02</c:v>
                </c:pt>
                <c:pt idx="23">
                  <c:v>2.23</c:v>
                </c:pt>
                <c:pt idx="24">
                  <c:v>2.21</c:v>
                </c:pt>
                <c:pt idx="25">
                  <c:v>2.16</c:v>
                </c:pt>
                <c:pt idx="26">
                  <c:v>4.13</c:v>
                </c:pt>
                <c:pt idx="27">
                  <c:v>4.05</c:v>
                </c:pt>
                <c:pt idx="28">
                  <c:v>3.77</c:v>
                </c:pt>
                <c:pt idx="29">
                  <c:v>3.79</c:v>
                </c:pt>
                <c:pt idx="30">
                  <c:v>4.0999999999999996</c:v>
                </c:pt>
                <c:pt idx="31">
                  <c:v>4.18</c:v>
                </c:pt>
                <c:pt idx="32">
                  <c:v>4.68</c:v>
                </c:pt>
                <c:pt idx="33">
                  <c:v>5.74</c:v>
                </c:pt>
                <c:pt idx="34">
                  <c:v>5.57</c:v>
                </c:pt>
                <c:pt idx="35">
                  <c:v>3.72</c:v>
                </c:pt>
                <c:pt idx="36">
                  <c:v>3.76</c:v>
                </c:pt>
                <c:pt idx="37">
                  <c:v>3.7</c:v>
                </c:pt>
                <c:pt idx="38">
                  <c:v>2.67</c:v>
                </c:pt>
                <c:pt idx="39">
                  <c:v>2.95</c:v>
                </c:pt>
                <c:pt idx="40">
                  <c:v>3.04</c:v>
                </c:pt>
                <c:pt idx="41">
                  <c:v>6.26</c:v>
                </c:pt>
                <c:pt idx="42">
                  <c:v>6.05</c:v>
                </c:pt>
                <c:pt idx="43">
                  <c:v>5.42</c:v>
                </c:pt>
                <c:pt idx="44">
                  <c:v>3.36</c:v>
                </c:pt>
                <c:pt idx="45">
                  <c:v>3.37</c:v>
                </c:pt>
                <c:pt idx="46">
                  <c:v>3.14</c:v>
                </c:pt>
                <c:pt idx="47">
                  <c:v>4.5599999999999996</c:v>
                </c:pt>
                <c:pt idx="48">
                  <c:v>3.45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3.07</c:v>
                </c:pt>
                <c:pt idx="56">
                  <c:v>3.12</c:v>
                </c:pt>
                <c:pt idx="57">
                  <c:v>3.13</c:v>
                </c:pt>
                <c:pt idx="58">
                  <c:v>5.88</c:v>
                </c:pt>
                <c:pt idx="59">
                  <c:v>0</c:v>
                </c:pt>
                <c:pt idx="60">
                  <c:v>0</c:v>
                </c:pt>
                <c:pt idx="61">
                  <c:v>3.01</c:v>
                </c:pt>
                <c:pt idx="62">
                  <c:v>2.98</c:v>
                </c:pt>
                <c:pt idx="63">
                  <c:v>2.66</c:v>
                </c:pt>
                <c:pt idx="64">
                  <c:v>3.54</c:v>
                </c:pt>
                <c:pt idx="65">
                  <c:v>3.57</c:v>
                </c:pt>
                <c:pt idx="66">
                  <c:v>3.64</c:v>
                </c:pt>
                <c:pt idx="67">
                  <c:v>3.69</c:v>
                </c:pt>
                <c:pt idx="68">
                  <c:v>3.58</c:v>
                </c:pt>
                <c:pt idx="69">
                  <c:v>3.23</c:v>
                </c:pt>
                <c:pt idx="70">
                  <c:v>3.45</c:v>
                </c:pt>
                <c:pt idx="71">
                  <c:v>3.3</c:v>
                </c:pt>
                <c:pt idx="72">
                  <c:v>3.27</c:v>
                </c:pt>
                <c:pt idx="73">
                  <c:v>6.39</c:v>
                </c:pt>
                <c:pt idx="74">
                  <c:v>6.44</c:v>
                </c:pt>
                <c:pt idx="75">
                  <c:v>6.58</c:v>
                </c:pt>
                <c:pt idx="76">
                  <c:v>6.72</c:v>
                </c:pt>
                <c:pt idx="77">
                  <c:v>6.66</c:v>
                </c:pt>
                <c:pt idx="78">
                  <c:v>6.66</c:v>
                </c:pt>
                <c:pt idx="79">
                  <c:v>2.98</c:v>
                </c:pt>
                <c:pt idx="80">
                  <c:v>3.17</c:v>
                </c:pt>
                <c:pt idx="81">
                  <c:v>3.33</c:v>
                </c:pt>
                <c:pt idx="82">
                  <c:v>6.13</c:v>
                </c:pt>
                <c:pt idx="83">
                  <c:v>5.74</c:v>
                </c:pt>
                <c:pt idx="84">
                  <c:v>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A-478C-B8A4-A8190AA57FA9}"/>
            </c:ext>
          </c:extLst>
        </c:ser>
        <c:ser>
          <c:idx val="1"/>
          <c:order val="1"/>
          <c:tx>
            <c:strRef>
              <c:f>'calculated marginal dose CaO'!$D$1</c:f>
              <c:strCache>
                <c:ptCount val="1"/>
                <c:pt idx="0">
                  <c:v>pH1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'calculated marginal dose CaO'!$D$2:$D$86</c:f>
              <c:numCache>
                <c:formatCode>General</c:formatCode>
                <c:ptCount val="85"/>
                <c:pt idx="0">
                  <c:v>5.51</c:v>
                </c:pt>
                <c:pt idx="1">
                  <c:v>5.26</c:v>
                </c:pt>
                <c:pt idx="2">
                  <c:v>4.93</c:v>
                </c:pt>
                <c:pt idx="3">
                  <c:v>4.18</c:v>
                </c:pt>
                <c:pt idx="4">
                  <c:v>5.25</c:v>
                </c:pt>
                <c:pt idx="5">
                  <c:v>7.1</c:v>
                </c:pt>
                <c:pt idx="6">
                  <c:v>7.23</c:v>
                </c:pt>
                <c:pt idx="7">
                  <c:v>7.01</c:v>
                </c:pt>
                <c:pt idx="8">
                  <c:v>6.56</c:v>
                </c:pt>
                <c:pt idx="9">
                  <c:v>6.64</c:v>
                </c:pt>
                <c:pt idx="10">
                  <c:v>6.8</c:v>
                </c:pt>
                <c:pt idx="11">
                  <c:v>7.01</c:v>
                </c:pt>
                <c:pt idx="12">
                  <c:v>4.0199999999999996</c:v>
                </c:pt>
                <c:pt idx="13">
                  <c:v>3.76</c:v>
                </c:pt>
                <c:pt idx="14">
                  <c:v>3.68</c:v>
                </c:pt>
                <c:pt idx="15">
                  <c:v>4.13</c:v>
                </c:pt>
                <c:pt idx="16">
                  <c:v>7.03</c:v>
                </c:pt>
                <c:pt idx="17">
                  <c:v>6.64</c:v>
                </c:pt>
                <c:pt idx="18">
                  <c:v>7.52</c:v>
                </c:pt>
                <c:pt idx="19">
                  <c:v>5.98</c:v>
                </c:pt>
                <c:pt idx="20">
                  <c:v>3.88</c:v>
                </c:pt>
                <c:pt idx="21">
                  <c:v>4.13</c:v>
                </c:pt>
                <c:pt idx="22">
                  <c:v>4.05</c:v>
                </c:pt>
                <c:pt idx="23">
                  <c:v>9.75</c:v>
                </c:pt>
                <c:pt idx="24">
                  <c:v>8.82</c:v>
                </c:pt>
                <c:pt idx="25">
                  <c:v>9.1300000000000008</c:v>
                </c:pt>
                <c:pt idx="26">
                  <c:v>7.74</c:v>
                </c:pt>
                <c:pt idx="27">
                  <c:v>8.77</c:v>
                </c:pt>
                <c:pt idx="28">
                  <c:v>4.18</c:v>
                </c:pt>
                <c:pt idx="29">
                  <c:v>4.0999999999999996</c:v>
                </c:pt>
                <c:pt idx="30">
                  <c:v>4.68</c:v>
                </c:pt>
                <c:pt idx="31">
                  <c:v>5.74</c:v>
                </c:pt>
                <c:pt idx="32">
                  <c:v>5.57</c:v>
                </c:pt>
                <c:pt idx="33">
                  <c:v>7.05</c:v>
                </c:pt>
                <c:pt idx="34">
                  <c:v>7.32</c:v>
                </c:pt>
                <c:pt idx="35">
                  <c:v>7.35</c:v>
                </c:pt>
                <c:pt idx="36">
                  <c:v>7.24</c:v>
                </c:pt>
                <c:pt idx="37">
                  <c:v>7.68</c:v>
                </c:pt>
                <c:pt idx="38">
                  <c:v>6.26</c:v>
                </c:pt>
                <c:pt idx="39">
                  <c:v>6.05</c:v>
                </c:pt>
                <c:pt idx="40">
                  <c:v>5.42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4.5599999999999996</c:v>
                </c:pt>
                <c:pt idx="45">
                  <c:v>3.45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5.88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3.54</c:v>
                </c:pt>
                <c:pt idx="62">
                  <c:v>3.57</c:v>
                </c:pt>
                <c:pt idx="63">
                  <c:v>3.64</c:v>
                </c:pt>
                <c:pt idx="64">
                  <c:v>8.99</c:v>
                </c:pt>
                <c:pt idx="65">
                  <c:v>9.56</c:v>
                </c:pt>
                <c:pt idx="66">
                  <c:v>9.14</c:v>
                </c:pt>
                <c:pt idx="67">
                  <c:v>9.8000000000000007</c:v>
                </c:pt>
                <c:pt idx="68">
                  <c:v>9.6999999999999993</c:v>
                </c:pt>
                <c:pt idx="69">
                  <c:v>9.3000000000000007</c:v>
                </c:pt>
                <c:pt idx="70">
                  <c:v>6.39</c:v>
                </c:pt>
                <c:pt idx="71">
                  <c:v>6.44</c:v>
                </c:pt>
                <c:pt idx="72">
                  <c:v>6.58</c:v>
                </c:pt>
                <c:pt idx="73">
                  <c:v>6.72</c:v>
                </c:pt>
                <c:pt idx="74">
                  <c:v>6.66</c:v>
                </c:pt>
                <c:pt idx="75">
                  <c:v>6.66</c:v>
                </c:pt>
                <c:pt idx="76">
                  <c:v>7.58</c:v>
                </c:pt>
                <c:pt idx="77">
                  <c:v>7.51</c:v>
                </c:pt>
                <c:pt idx="78">
                  <c:v>7.51</c:v>
                </c:pt>
                <c:pt idx="79">
                  <c:v>6.13</c:v>
                </c:pt>
                <c:pt idx="80">
                  <c:v>5.74</c:v>
                </c:pt>
                <c:pt idx="81">
                  <c:v>7.3</c:v>
                </c:pt>
                <c:pt idx="82">
                  <c:v>6.47</c:v>
                </c:pt>
                <c:pt idx="83">
                  <c:v>6.45</c:v>
                </c:pt>
                <c:pt idx="84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3A-478C-B8A4-A8190AA57FA9}"/>
            </c:ext>
          </c:extLst>
        </c:ser>
        <c:ser>
          <c:idx val="2"/>
          <c:order val="2"/>
          <c:tx>
            <c:strRef>
              <c:f>'calculated marginal dose CaO'!$E$1</c:f>
              <c:strCache>
                <c:ptCount val="1"/>
                <c:pt idx="0">
                  <c:v>marginaldose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'calculated marginal dose CaO'!$E$2:$E$86</c:f>
              <c:numCache>
                <c:formatCode>General</c:formatCode>
                <c:ptCount val="85"/>
                <c:pt idx="0">
                  <c:v>12.95336787564767</c:v>
                </c:pt>
                <c:pt idx="1">
                  <c:v>12.755102040816327</c:v>
                </c:pt>
                <c:pt idx="2">
                  <c:v>14.970059880239521</c:v>
                </c:pt>
                <c:pt idx="3">
                  <c:v>26.595744680851077</c:v>
                </c:pt>
                <c:pt idx="4">
                  <c:v>12.135922330097086</c:v>
                </c:pt>
                <c:pt idx="5">
                  <c:v>15.723270440251573</c:v>
                </c:pt>
                <c:pt idx="6">
                  <c:v>12.690355329949234</c:v>
                </c:pt>
                <c:pt idx="7">
                  <c:v>12.019230769230768</c:v>
                </c:pt>
                <c:pt idx="8">
                  <c:v>10.504201680672269</c:v>
                </c:pt>
                <c:pt idx="9">
                  <c:v>17.985611510791372</c:v>
                </c:pt>
                <c:pt idx="10">
                  <c:v>5.2083333333333287E-2</c:v>
                </c:pt>
                <c:pt idx="11">
                  <c:v>3.3783783783783779E-2</c:v>
                </c:pt>
                <c:pt idx="12">
                  <c:v>4.098360655737709</c:v>
                </c:pt>
                <c:pt idx="13">
                  <c:v>32.608695652173914</c:v>
                </c:pt>
                <c:pt idx="14">
                  <c:v>138.88888888888843</c:v>
                </c:pt>
                <c:pt idx="15">
                  <c:v>0.35714285714285704</c:v>
                </c:pt>
                <c:pt idx="16">
                  <c:v>2.1594684385382057</c:v>
                </c:pt>
                <c:pt idx="17">
                  <c:v>4.3402777777777777</c:v>
                </c:pt>
                <c:pt idx="18">
                  <c:v>3.2552083333333339</c:v>
                </c:pt>
                <c:pt idx="19">
                  <c:v>0.20270270270270263</c:v>
                </c:pt>
                <c:pt idx="20">
                  <c:v>0.7352941176470591</c:v>
                </c:pt>
                <c:pt idx="21">
                  <c:v>1.1682242990654208</c:v>
                </c:pt>
                <c:pt idx="22">
                  <c:v>1.2315270935960592</c:v>
                </c:pt>
                <c:pt idx="23">
                  <c:v>1.6622340425531916</c:v>
                </c:pt>
                <c:pt idx="24">
                  <c:v>1.8910741301059</c:v>
                </c:pt>
                <c:pt idx="25">
                  <c:v>1.7934002869440457</c:v>
                </c:pt>
                <c:pt idx="26">
                  <c:v>1.3850415512465373</c:v>
                </c:pt>
                <c:pt idx="27">
                  <c:v>1.5889830508474576</c:v>
                </c:pt>
                <c:pt idx="28">
                  <c:v>18.292682926829283</c:v>
                </c:pt>
                <c:pt idx="29">
                  <c:v>24.193548387096804</c:v>
                </c:pt>
                <c:pt idx="30">
                  <c:v>12.931034482758619</c:v>
                </c:pt>
                <c:pt idx="31">
                  <c:v>8.012820512820511</c:v>
                </c:pt>
                <c:pt idx="32">
                  <c:v>14.044943820224709</c:v>
                </c:pt>
                <c:pt idx="33">
                  <c:v>9.5419847328244298</c:v>
                </c:pt>
                <c:pt idx="34">
                  <c:v>7.1428571428571432</c:v>
                </c:pt>
                <c:pt idx="35">
                  <c:v>2.0661157024793391</c:v>
                </c:pt>
                <c:pt idx="36">
                  <c:v>2.1551724137931032</c:v>
                </c:pt>
                <c:pt idx="37">
                  <c:v>1.8844221105527641</c:v>
                </c:pt>
                <c:pt idx="38">
                  <c:v>4.3175487465181064</c:v>
                </c:pt>
                <c:pt idx="39">
                  <c:v>5.0000000000000009</c:v>
                </c:pt>
                <c:pt idx="40">
                  <c:v>6.5126050420168067</c:v>
                </c:pt>
                <c:pt idx="41">
                  <c:v>16.853932584269653</c:v>
                </c:pt>
                <c:pt idx="42">
                  <c:v>13.274336283185843</c:v>
                </c:pt>
                <c:pt idx="43">
                  <c:v>8.7209302325581408</c:v>
                </c:pt>
                <c:pt idx="44">
                  <c:v>6.2500000000000018</c:v>
                </c:pt>
                <c:pt idx="45">
                  <c:v>93.749999999999915</c:v>
                </c:pt>
                <c:pt idx="46">
                  <c:v>7.1633237822349578</c:v>
                </c:pt>
                <c:pt idx="47">
                  <c:v>7.7881619937694708</c:v>
                </c:pt>
                <c:pt idx="48">
                  <c:v>8.5910652920962196</c:v>
                </c:pt>
                <c:pt idx="49">
                  <c:v>13.888888888888888</c:v>
                </c:pt>
                <c:pt idx="50">
                  <c:v>15.4639175257732</c:v>
                </c:pt>
                <c:pt idx="51">
                  <c:v>12.195121951219516</c:v>
                </c:pt>
                <c:pt idx="52">
                  <c:v>7.1633237822349578</c:v>
                </c:pt>
                <c:pt idx="53">
                  <c:v>7.7881619937694708</c:v>
                </c:pt>
                <c:pt idx="54">
                  <c:v>8.5910652920962196</c:v>
                </c:pt>
                <c:pt idx="55">
                  <c:v>5.3380782918149468</c:v>
                </c:pt>
                <c:pt idx="56">
                  <c:v>5.3380782918149476</c:v>
                </c:pt>
                <c:pt idx="57">
                  <c:v>4.8387096774193541</c:v>
                </c:pt>
                <c:pt idx="58">
                  <c:v>2.3923444976076556</c:v>
                </c:pt>
                <c:pt idx="59">
                  <c:v>4.6728971962616814</c:v>
                </c:pt>
                <c:pt idx="60">
                  <c:v>6.4102564102564159</c:v>
                </c:pt>
                <c:pt idx="61">
                  <c:v>28.301886792452816</c:v>
                </c:pt>
                <c:pt idx="62">
                  <c:v>25.423728813559329</c:v>
                </c:pt>
                <c:pt idx="63">
                  <c:v>15.306122448979592</c:v>
                </c:pt>
                <c:pt idx="64">
                  <c:v>4.5871559633027523</c:v>
                </c:pt>
                <c:pt idx="65">
                  <c:v>4.1736227045075127</c:v>
                </c:pt>
                <c:pt idx="66">
                  <c:v>4.5454545454545459</c:v>
                </c:pt>
                <c:pt idx="67">
                  <c:v>2.4549918166939437</c:v>
                </c:pt>
                <c:pt idx="68">
                  <c:v>2.4509803921568629</c:v>
                </c:pt>
                <c:pt idx="69">
                  <c:v>2.4711696869851729</c:v>
                </c:pt>
                <c:pt idx="70">
                  <c:v>8.5034013605442187</c:v>
                </c:pt>
                <c:pt idx="71">
                  <c:v>7.9617834394904445</c:v>
                </c:pt>
                <c:pt idx="72">
                  <c:v>7.5528700906344408</c:v>
                </c:pt>
                <c:pt idx="73">
                  <c:v>45.454545454545446</c:v>
                </c:pt>
                <c:pt idx="74">
                  <c:v>68.181818181818258</c:v>
                </c:pt>
                <c:pt idx="75">
                  <c:v>187.49999999999983</c:v>
                </c:pt>
                <c:pt idx="76">
                  <c:v>17.441860465116271</c:v>
                </c:pt>
                <c:pt idx="77">
                  <c:v>17.64705882352942</c:v>
                </c:pt>
                <c:pt idx="78">
                  <c:v>17.64705882352942</c:v>
                </c:pt>
                <c:pt idx="79">
                  <c:v>7.9365079365079367</c:v>
                </c:pt>
                <c:pt idx="80">
                  <c:v>9.7276264591439681</c:v>
                </c:pt>
                <c:pt idx="81">
                  <c:v>6.2972292191435768</c:v>
                </c:pt>
                <c:pt idx="82">
                  <c:v>44.11764705882355</c:v>
                </c:pt>
                <c:pt idx="83">
                  <c:v>21.126760563380284</c:v>
                </c:pt>
                <c:pt idx="84">
                  <c:v>8.9285714285714306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3A-478C-B8A4-A8190AA57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806271"/>
        <c:axId val="1070465071"/>
      </c:lineChart>
      <c:catAx>
        <c:axId val="114580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465071"/>
        <c:crosses val="autoZero"/>
        <c:auto val="1"/>
        <c:lblAlgn val="ctr"/>
        <c:lblOffset val="100"/>
        <c:noMultiLvlLbl val="0"/>
      </c:catAx>
      <c:valAx>
        <c:axId val="107046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0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409575</xdr:colOff>
      <xdr:row>72</xdr:row>
      <xdr:rowOff>19050</xdr:rowOff>
    </xdr:from>
    <xdr:to>
      <xdr:col>21</xdr:col>
      <xdr:colOff>104775</xdr:colOff>
      <xdr:row>87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CB2BBF-89A2-087C-4287-F5D4C5B6F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4CB1-E184-4252-BCAA-3AB36608748D}">
  <dimension ref="A1:R45"/>
  <sheetViews>
    <sheetView topLeftCell="B1" workbookViewId="0">
      <selection activeCell="Q1" activeCellId="3" sqref="B1:B1048576 C1:C1048576 P1:P1048576 Q1:Q1048576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82</v>
      </c>
    </row>
    <row r="2" spans="1:18" x14ac:dyDescent="0.35">
      <c r="A2">
        <v>1</v>
      </c>
      <c r="B2" t="s">
        <v>16</v>
      </c>
      <c r="C2">
        <v>3.58</v>
      </c>
      <c r="D2">
        <v>25</v>
      </c>
      <c r="E2">
        <v>5.51</v>
      </c>
      <c r="F2">
        <v>12.95336787564767</v>
      </c>
      <c r="G2">
        <v>25</v>
      </c>
      <c r="H2">
        <v>7.1</v>
      </c>
      <c r="I2">
        <v>15.723270440251573</v>
      </c>
      <c r="J2" t="s">
        <v>17</v>
      </c>
      <c r="K2" t="s">
        <v>17</v>
      </c>
      <c r="P2">
        <v>50</v>
      </c>
      <c r="Q2">
        <v>3.5199999999999996</v>
      </c>
      <c r="R2">
        <f>P2/Q2</f>
        <v>14.204545454545457</v>
      </c>
    </row>
    <row r="3" spans="1:18" x14ac:dyDescent="0.35">
      <c r="A3">
        <v>1</v>
      </c>
      <c r="B3" t="s">
        <v>16</v>
      </c>
      <c r="C3">
        <v>3.3</v>
      </c>
      <c r="D3">
        <v>25</v>
      </c>
      <c r="E3">
        <v>5.26</v>
      </c>
      <c r="F3">
        <v>12.755102040816327</v>
      </c>
      <c r="G3">
        <v>25</v>
      </c>
      <c r="H3">
        <v>7.23</v>
      </c>
      <c r="I3">
        <v>12.690355329949234</v>
      </c>
      <c r="J3" t="s">
        <v>17</v>
      </c>
      <c r="K3" t="s">
        <v>17</v>
      </c>
      <c r="P3">
        <v>50</v>
      </c>
      <c r="Q3">
        <v>3.9300000000000006</v>
      </c>
      <c r="R3">
        <f t="shared" ref="R3:R45" si="0">P3/Q3</f>
        <v>12.722646310432568</v>
      </c>
    </row>
    <row r="4" spans="1:18" x14ac:dyDescent="0.35">
      <c r="A4">
        <v>1</v>
      </c>
      <c r="B4" t="s">
        <v>16</v>
      </c>
      <c r="C4">
        <v>3.26</v>
      </c>
      <c r="D4">
        <v>25</v>
      </c>
      <c r="E4">
        <v>4.93</v>
      </c>
      <c r="F4">
        <v>14.970059880239521</v>
      </c>
      <c r="G4">
        <v>25</v>
      </c>
      <c r="H4">
        <v>7.01</v>
      </c>
      <c r="I4">
        <v>12.019230769230768</v>
      </c>
      <c r="J4" t="s">
        <v>17</v>
      </c>
      <c r="K4" t="s">
        <v>17</v>
      </c>
      <c r="P4">
        <v>50</v>
      </c>
      <c r="Q4">
        <v>3.75</v>
      </c>
      <c r="R4">
        <f t="shared" si="0"/>
        <v>13.333333333333334</v>
      </c>
    </row>
    <row r="5" spans="1:18" x14ac:dyDescent="0.35">
      <c r="A5">
        <v>1</v>
      </c>
      <c r="B5" t="s">
        <v>16</v>
      </c>
      <c r="C5">
        <v>3.24</v>
      </c>
      <c r="D5">
        <v>25</v>
      </c>
      <c r="E5">
        <v>4.18</v>
      </c>
      <c r="F5">
        <v>26.595744680851077</v>
      </c>
      <c r="G5">
        <v>25</v>
      </c>
      <c r="H5">
        <v>6.56</v>
      </c>
      <c r="I5">
        <v>10.504201680672269</v>
      </c>
      <c r="J5">
        <v>1.2500000000000001E-2</v>
      </c>
      <c r="K5">
        <v>6.8</v>
      </c>
      <c r="L5">
        <v>5.2083333333333287E-2</v>
      </c>
      <c r="P5">
        <v>50.012500000000003</v>
      </c>
      <c r="Q5">
        <v>3.5599999999999996</v>
      </c>
      <c r="R5">
        <f t="shared" si="0"/>
        <v>14.048455056179778</v>
      </c>
    </row>
    <row r="6" spans="1:18" x14ac:dyDescent="0.35">
      <c r="A6">
        <v>1</v>
      </c>
      <c r="B6" t="s">
        <v>16</v>
      </c>
      <c r="C6">
        <v>3.19</v>
      </c>
      <c r="D6">
        <v>25</v>
      </c>
      <c r="E6">
        <v>5.25</v>
      </c>
      <c r="F6">
        <v>12.135922330097086</v>
      </c>
      <c r="G6">
        <v>25</v>
      </c>
      <c r="H6">
        <v>6.64</v>
      </c>
      <c r="I6">
        <v>17.985611510791372</v>
      </c>
      <c r="J6">
        <v>1.2500000000000001E-2</v>
      </c>
      <c r="K6">
        <v>7.01</v>
      </c>
      <c r="L6">
        <v>3.3783783783783779E-2</v>
      </c>
      <c r="P6">
        <v>50.012500000000003</v>
      </c>
      <c r="Q6">
        <v>3.82</v>
      </c>
      <c r="R6">
        <f t="shared" si="0"/>
        <v>13.092277486910996</v>
      </c>
    </row>
    <row r="7" spans="1:18" x14ac:dyDescent="0.35">
      <c r="A7">
        <v>2</v>
      </c>
      <c r="B7" t="s">
        <v>18</v>
      </c>
      <c r="C7">
        <v>3.41</v>
      </c>
      <c r="D7">
        <v>2.5</v>
      </c>
      <c r="E7">
        <v>4.0199999999999996</v>
      </c>
      <c r="F7">
        <v>4.098360655737709</v>
      </c>
      <c r="G7">
        <v>6.5</v>
      </c>
      <c r="H7">
        <v>7.03</v>
      </c>
      <c r="I7">
        <v>2.1594684385382057</v>
      </c>
      <c r="J7" t="s">
        <v>17</v>
      </c>
      <c r="K7" t="s">
        <v>17</v>
      </c>
      <c r="L7" t="s">
        <v>17</v>
      </c>
      <c r="P7">
        <v>9</v>
      </c>
      <c r="Q7">
        <v>3.62</v>
      </c>
      <c r="R7">
        <f t="shared" si="0"/>
        <v>2.4861878453038675</v>
      </c>
    </row>
    <row r="8" spans="1:18" x14ac:dyDescent="0.35">
      <c r="A8">
        <v>2</v>
      </c>
      <c r="B8" t="s">
        <v>18</v>
      </c>
      <c r="C8">
        <v>3.53</v>
      </c>
      <c r="D8">
        <v>7.5</v>
      </c>
      <c r="E8">
        <v>3.76</v>
      </c>
      <c r="F8">
        <v>32.608695652173914</v>
      </c>
      <c r="G8">
        <v>12.5</v>
      </c>
      <c r="H8">
        <v>6.64</v>
      </c>
      <c r="I8">
        <v>4.3402777777777777</v>
      </c>
      <c r="J8">
        <v>2.5</v>
      </c>
      <c r="K8">
        <v>7.03</v>
      </c>
      <c r="L8">
        <v>6.4102564102564008</v>
      </c>
      <c r="P8">
        <v>22.5</v>
      </c>
      <c r="Q8">
        <v>3.5000000000000004</v>
      </c>
      <c r="R8">
        <f t="shared" si="0"/>
        <v>6.4285714285714279</v>
      </c>
    </row>
    <row r="9" spans="1:18" x14ac:dyDescent="0.35">
      <c r="A9">
        <v>2</v>
      </c>
      <c r="B9" t="s">
        <v>18</v>
      </c>
      <c r="C9">
        <v>3.59</v>
      </c>
      <c r="D9">
        <v>12.5</v>
      </c>
      <c r="E9">
        <v>3.68</v>
      </c>
      <c r="F9">
        <v>138.88888888888843</v>
      </c>
      <c r="G9">
        <v>12.5</v>
      </c>
      <c r="H9">
        <v>7.52</v>
      </c>
      <c r="I9">
        <v>3.2552083333333339</v>
      </c>
      <c r="J9" t="s">
        <v>17</v>
      </c>
      <c r="K9" t="s">
        <v>17</v>
      </c>
      <c r="L9" t="s">
        <v>17</v>
      </c>
      <c r="P9">
        <v>25</v>
      </c>
      <c r="Q9">
        <v>3.9299999999999997</v>
      </c>
      <c r="R9">
        <f t="shared" si="0"/>
        <v>6.3613231552162857</v>
      </c>
    </row>
    <row r="10" spans="1:18" x14ac:dyDescent="0.35">
      <c r="A10">
        <v>2</v>
      </c>
      <c r="B10" t="s">
        <v>18</v>
      </c>
      <c r="C10">
        <v>3.78</v>
      </c>
      <c r="D10">
        <v>0.125</v>
      </c>
      <c r="E10">
        <v>4.13</v>
      </c>
      <c r="F10">
        <v>0.35714285714285704</v>
      </c>
      <c r="G10">
        <v>0.375</v>
      </c>
      <c r="H10">
        <v>5.98</v>
      </c>
      <c r="I10">
        <v>0.20270270270270263</v>
      </c>
      <c r="J10">
        <v>0.375</v>
      </c>
      <c r="K10">
        <v>6.36</v>
      </c>
      <c r="L10">
        <v>0.98684210526315819</v>
      </c>
      <c r="M10">
        <v>2.5</v>
      </c>
      <c r="N10">
        <v>8.3699999999999992</v>
      </c>
      <c r="O10">
        <v>1.243781094527364</v>
      </c>
      <c r="P10">
        <v>3.375</v>
      </c>
      <c r="Q10">
        <v>4.59</v>
      </c>
      <c r="R10">
        <f t="shared" si="0"/>
        <v>0.73529411764705888</v>
      </c>
    </row>
    <row r="11" spans="1:18" x14ac:dyDescent="0.35">
      <c r="A11">
        <v>2</v>
      </c>
      <c r="B11" t="s">
        <v>18</v>
      </c>
      <c r="C11">
        <v>4</v>
      </c>
      <c r="D11">
        <v>0.125</v>
      </c>
      <c r="E11">
        <v>3.71</v>
      </c>
      <c r="F11">
        <v>-0.43103448275862066</v>
      </c>
      <c r="G11">
        <v>0.125</v>
      </c>
      <c r="H11">
        <v>3.88</v>
      </c>
      <c r="I11">
        <v>0.7352941176470591</v>
      </c>
      <c r="J11">
        <v>0.75</v>
      </c>
      <c r="K11">
        <v>4.53</v>
      </c>
      <c r="L11">
        <v>1.1538461538461533</v>
      </c>
      <c r="M11">
        <v>2.5</v>
      </c>
      <c r="N11">
        <v>8.3800000000000008</v>
      </c>
      <c r="O11">
        <v>0.64935064935064923</v>
      </c>
      <c r="P11">
        <v>3.5</v>
      </c>
      <c r="Q11">
        <v>4.3800000000000008</v>
      </c>
      <c r="R11">
        <f t="shared" si="0"/>
        <v>0.79908675799086748</v>
      </c>
    </row>
    <row r="12" spans="1:18" x14ac:dyDescent="0.35">
      <c r="A12">
        <v>3</v>
      </c>
      <c r="B12" t="s">
        <v>19</v>
      </c>
      <c r="C12">
        <v>1.99</v>
      </c>
      <c r="D12">
        <v>2.5</v>
      </c>
      <c r="E12">
        <v>4.13</v>
      </c>
      <c r="F12">
        <v>1.1682242990654208</v>
      </c>
      <c r="G12">
        <v>5</v>
      </c>
      <c r="H12">
        <v>7.74</v>
      </c>
      <c r="I12">
        <v>1.3850415512465373</v>
      </c>
      <c r="P12">
        <v>7.5</v>
      </c>
      <c r="Q12">
        <v>5.75</v>
      </c>
      <c r="R12">
        <f t="shared" si="0"/>
        <v>1.3043478260869565</v>
      </c>
    </row>
    <row r="13" spans="1:18" x14ac:dyDescent="0.35">
      <c r="A13">
        <v>3</v>
      </c>
      <c r="B13" t="s">
        <v>19</v>
      </c>
      <c r="C13">
        <v>2.02</v>
      </c>
      <c r="D13">
        <v>2.5</v>
      </c>
      <c r="E13">
        <v>4.05</v>
      </c>
      <c r="F13">
        <v>1.2315270935960592</v>
      </c>
      <c r="G13">
        <v>7.5</v>
      </c>
      <c r="H13">
        <v>8.77</v>
      </c>
      <c r="I13">
        <v>1.5889830508474576</v>
      </c>
      <c r="P13">
        <v>10</v>
      </c>
      <c r="Q13">
        <v>6.75</v>
      </c>
      <c r="R13">
        <f t="shared" si="0"/>
        <v>1.4814814814814814</v>
      </c>
    </row>
    <row r="14" spans="1:18" x14ac:dyDescent="0.35">
      <c r="A14">
        <v>3</v>
      </c>
      <c r="B14" t="s">
        <v>19</v>
      </c>
      <c r="C14">
        <v>2.23</v>
      </c>
      <c r="D14">
        <v>12.5</v>
      </c>
      <c r="E14">
        <v>9.75</v>
      </c>
      <c r="F14">
        <v>1.6622340425531916</v>
      </c>
      <c r="P14">
        <v>12.5</v>
      </c>
      <c r="Q14">
        <v>7.52</v>
      </c>
      <c r="R14">
        <f t="shared" si="0"/>
        <v>1.6622340425531916</v>
      </c>
    </row>
    <row r="15" spans="1:18" x14ac:dyDescent="0.35">
      <c r="A15">
        <v>3</v>
      </c>
      <c r="B15" t="s">
        <v>19</v>
      </c>
      <c r="C15">
        <v>2.21</v>
      </c>
      <c r="D15">
        <v>12.5</v>
      </c>
      <c r="E15">
        <v>8.82</v>
      </c>
      <c r="F15">
        <v>1.8910741301059</v>
      </c>
      <c r="P15">
        <v>12.5</v>
      </c>
      <c r="Q15">
        <v>6.61</v>
      </c>
      <c r="R15">
        <f t="shared" si="0"/>
        <v>1.8910741301059</v>
      </c>
    </row>
    <row r="16" spans="1:18" x14ac:dyDescent="0.35">
      <c r="A16">
        <v>3</v>
      </c>
      <c r="B16" t="s">
        <v>19</v>
      </c>
      <c r="C16">
        <v>2.16</v>
      </c>
      <c r="D16">
        <v>12.5</v>
      </c>
      <c r="E16">
        <v>9.1300000000000008</v>
      </c>
      <c r="F16">
        <v>1.7934002869440457</v>
      </c>
      <c r="P16">
        <v>12.5</v>
      </c>
      <c r="Q16">
        <v>6.9700000000000006</v>
      </c>
      <c r="R16">
        <f t="shared" si="0"/>
        <v>1.7934002869440457</v>
      </c>
    </row>
    <row r="17" spans="1:18" x14ac:dyDescent="0.35">
      <c r="A17">
        <v>4</v>
      </c>
      <c r="B17" t="s">
        <v>20</v>
      </c>
      <c r="C17">
        <v>3.77</v>
      </c>
      <c r="D17">
        <v>7.5</v>
      </c>
      <c r="E17">
        <v>4.18</v>
      </c>
      <c r="F17">
        <v>18.292682926829283</v>
      </c>
      <c r="G17">
        <v>7.5</v>
      </c>
      <c r="H17">
        <v>4.18</v>
      </c>
      <c r="I17" t="e">
        <v>#DIV/0!</v>
      </c>
      <c r="J17">
        <v>12.5</v>
      </c>
      <c r="K17">
        <v>5.74</v>
      </c>
      <c r="L17">
        <v>8.012820512820511</v>
      </c>
      <c r="M17">
        <v>12.5</v>
      </c>
      <c r="N17">
        <v>7.05</v>
      </c>
      <c r="O17">
        <v>9.5419847328244298</v>
      </c>
      <c r="P17">
        <v>40</v>
      </c>
      <c r="Q17">
        <v>3.28</v>
      </c>
      <c r="R17">
        <f t="shared" si="0"/>
        <v>12.195121951219512</v>
      </c>
    </row>
    <row r="18" spans="1:18" x14ac:dyDescent="0.35">
      <c r="A18">
        <v>4</v>
      </c>
      <c r="B18" t="s">
        <v>20</v>
      </c>
      <c r="C18">
        <v>3.79</v>
      </c>
      <c r="D18">
        <v>7.5</v>
      </c>
      <c r="E18">
        <v>4.0999999999999996</v>
      </c>
      <c r="F18">
        <v>24.193548387096804</v>
      </c>
      <c r="G18">
        <v>7.5</v>
      </c>
      <c r="H18">
        <v>4.68</v>
      </c>
      <c r="I18">
        <v>12.931034482758619</v>
      </c>
      <c r="J18">
        <v>12.5</v>
      </c>
      <c r="K18">
        <v>5.57</v>
      </c>
      <c r="L18">
        <v>14.044943820224709</v>
      </c>
      <c r="M18">
        <v>12.5</v>
      </c>
      <c r="N18">
        <v>7.32</v>
      </c>
      <c r="O18">
        <v>7.1428571428571432</v>
      </c>
      <c r="P18">
        <v>40</v>
      </c>
      <c r="Q18">
        <v>3.5300000000000002</v>
      </c>
      <c r="R18">
        <f t="shared" si="0"/>
        <v>11.331444759206798</v>
      </c>
    </row>
    <row r="19" spans="1:18" x14ac:dyDescent="0.35">
      <c r="A19">
        <v>5</v>
      </c>
      <c r="B19" t="s">
        <v>21</v>
      </c>
      <c r="C19">
        <v>3.72</v>
      </c>
      <c r="D19">
        <v>7.5</v>
      </c>
      <c r="E19">
        <v>7.35</v>
      </c>
      <c r="F19">
        <v>2.0661157024793391</v>
      </c>
      <c r="P19">
        <v>7.5</v>
      </c>
      <c r="Q19">
        <v>3.6299999999999994</v>
      </c>
      <c r="R19">
        <f t="shared" si="0"/>
        <v>2.0661157024793391</v>
      </c>
    </row>
    <row r="20" spans="1:18" x14ac:dyDescent="0.35">
      <c r="A20">
        <v>5</v>
      </c>
      <c r="B20" t="s">
        <v>21</v>
      </c>
      <c r="C20">
        <v>3.76</v>
      </c>
      <c r="D20">
        <v>7.5</v>
      </c>
      <c r="E20">
        <v>7.24</v>
      </c>
      <c r="F20">
        <v>2.1551724137931032</v>
      </c>
      <c r="P20">
        <v>7.5</v>
      </c>
      <c r="Q20">
        <v>3.4800000000000004</v>
      </c>
      <c r="R20">
        <f t="shared" si="0"/>
        <v>2.1551724137931032</v>
      </c>
    </row>
    <row r="21" spans="1:18" x14ac:dyDescent="0.35">
      <c r="A21">
        <v>5</v>
      </c>
      <c r="B21" t="s">
        <v>21</v>
      </c>
      <c r="C21">
        <v>3.7</v>
      </c>
      <c r="D21">
        <v>7.5</v>
      </c>
      <c r="E21">
        <v>7.68</v>
      </c>
      <c r="F21">
        <v>1.8844221105527641</v>
      </c>
      <c r="P21">
        <v>7.5</v>
      </c>
      <c r="Q21">
        <v>3.9799999999999995</v>
      </c>
      <c r="R21">
        <f t="shared" si="0"/>
        <v>1.8844221105527641</v>
      </c>
    </row>
    <row r="22" spans="1:18" x14ac:dyDescent="0.35">
      <c r="A22">
        <v>6</v>
      </c>
      <c r="B22" t="s">
        <v>24</v>
      </c>
      <c r="C22">
        <v>3.2</v>
      </c>
      <c r="D22">
        <v>7.5</v>
      </c>
      <c r="E22">
        <v>2.67</v>
      </c>
      <c r="F22">
        <v>-14.150943396226408</v>
      </c>
      <c r="G22">
        <v>15.5</v>
      </c>
      <c r="H22">
        <v>6.26</v>
      </c>
      <c r="I22">
        <v>4.3175487465181064</v>
      </c>
      <c r="J22">
        <v>15</v>
      </c>
      <c r="K22" t="s">
        <v>25</v>
      </c>
      <c r="L22">
        <v>16.853932584269653</v>
      </c>
      <c r="P22">
        <v>38</v>
      </c>
      <c r="Q22">
        <v>3.95</v>
      </c>
      <c r="R22">
        <f t="shared" si="0"/>
        <v>9.6202531645569618</v>
      </c>
    </row>
    <row r="23" spans="1:18" x14ac:dyDescent="0.35">
      <c r="A23">
        <v>6</v>
      </c>
      <c r="B23" t="s">
        <v>24</v>
      </c>
      <c r="C23">
        <v>3.26</v>
      </c>
      <c r="D23">
        <v>7.5</v>
      </c>
      <c r="E23">
        <v>2.95</v>
      </c>
      <c r="F23">
        <v>-24.193548387096804</v>
      </c>
      <c r="G23">
        <v>15.5</v>
      </c>
      <c r="H23">
        <v>6.05</v>
      </c>
      <c r="I23">
        <v>5.0000000000000009</v>
      </c>
      <c r="J23">
        <v>15</v>
      </c>
      <c r="K23" t="s">
        <v>26</v>
      </c>
      <c r="L23">
        <v>13.274336283185843</v>
      </c>
      <c r="P23">
        <v>38</v>
      </c>
      <c r="Q23">
        <v>3.92</v>
      </c>
      <c r="R23">
        <f t="shared" si="0"/>
        <v>9.6938775510204085</v>
      </c>
    </row>
    <row r="24" spans="1:18" x14ac:dyDescent="0.35">
      <c r="A24">
        <v>6</v>
      </c>
      <c r="B24" t="s">
        <v>24</v>
      </c>
      <c r="C24">
        <v>3.17</v>
      </c>
      <c r="D24">
        <v>7.5</v>
      </c>
      <c r="E24">
        <v>3.04</v>
      </c>
      <c r="F24">
        <v>-57.692307692307743</v>
      </c>
      <c r="G24">
        <v>15.5</v>
      </c>
      <c r="H24">
        <v>5.42</v>
      </c>
      <c r="I24">
        <v>6.5126050420168067</v>
      </c>
      <c r="J24">
        <v>15</v>
      </c>
      <c r="K24" t="s">
        <v>27</v>
      </c>
      <c r="L24">
        <v>8.7209302325581408</v>
      </c>
      <c r="P24">
        <v>38</v>
      </c>
      <c r="Q24">
        <v>3.9699999999999998</v>
      </c>
      <c r="R24">
        <f t="shared" si="0"/>
        <v>9.571788413098238</v>
      </c>
    </row>
    <row r="25" spans="1:18" x14ac:dyDescent="0.35">
      <c r="A25">
        <v>7</v>
      </c>
      <c r="B25" t="s">
        <v>28</v>
      </c>
      <c r="C25">
        <v>3.36</v>
      </c>
      <c r="D25">
        <v>7.5</v>
      </c>
      <c r="E25">
        <v>3.14</v>
      </c>
      <c r="F25">
        <v>-34.090909090909129</v>
      </c>
      <c r="G25">
        <v>15.5</v>
      </c>
      <c r="H25">
        <v>7</v>
      </c>
      <c r="I25">
        <v>4.0155440414507773</v>
      </c>
      <c r="P25">
        <v>23</v>
      </c>
      <c r="Q25">
        <v>3.64</v>
      </c>
      <c r="R25">
        <f t="shared" si="0"/>
        <v>6.3186813186813184</v>
      </c>
    </row>
    <row r="26" spans="1:18" x14ac:dyDescent="0.35">
      <c r="A26">
        <v>7</v>
      </c>
      <c r="B26" t="s">
        <v>28</v>
      </c>
      <c r="C26">
        <v>3.36</v>
      </c>
      <c r="D26">
        <v>7.5</v>
      </c>
      <c r="E26">
        <v>4.5599999999999996</v>
      </c>
      <c r="F26">
        <v>6.2500000000000018</v>
      </c>
      <c r="G26">
        <v>15.5</v>
      </c>
      <c r="H26">
        <v>8.6300000000000008</v>
      </c>
      <c r="I26">
        <v>3.8083538083538073</v>
      </c>
      <c r="P26">
        <v>23</v>
      </c>
      <c r="Q26">
        <v>5.2700000000000014</v>
      </c>
      <c r="R26">
        <f t="shared" si="0"/>
        <v>4.364326375711574</v>
      </c>
    </row>
    <row r="27" spans="1:18" x14ac:dyDescent="0.35">
      <c r="A27">
        <v>7</v>
      </c>
      <c r="B27" t="s">
        <v>28</v>
      </c>
      <c r="C27">
        <v>3.37</v>
      </c>
      <c r="D27">
        <v>7.5</v>
      </c>
      <c r="E27">
        <v>3.45</v>
      </c>
      <c r="F27">
        <v>93.749999999999915</v>
      </c>
      <c r="G27">
        <v>15.5</v>
      </c>
      <c r="H27">
        <v>8.1300000000000008</v>
      </c>
      <c r="I27">
        <v>3.3119658119658117</v>
      </c>
      <c r="P27">
        <v>23</v>
      </c>
      <c r="Q27">
        <v>4.7600000000000007</v>
      </c>
      <c r="R27">
        <f t="shared" si="0"/>
        <v>4.8319327731092434</v>
      </c>
    </row>
    <row r="28" spans="1:18" x14ac:dyDescent="0.35">
      <c r="A28">
        <v>8</v>
      </c>
      <c r="B28" t="s">
        <v>29</v>
      </c>
      <c r="C28" t="s">
        <v>30</v>
      </c>
      <c r="D28">
        <v>15</v>
      </c>
      <c r="E28" t="s">
        <v>31</v>
      </c>
      <c r="F28">
        <v>13.888888888888888</v>
      </c>
      <c r="G28">
        <v>25</v>
      </c>
      <c r="H28" t="s">
        <v>32</v>
      </c>
      <c r="I28">
        <v>7.1633237822349578</v>
      </c>
      <c r="P28">
        <v>40</v>
      </c>
      <c r="Q28">
        <v>4.57</v>
      </c>
      <c r="R28">
        <f t="shared" si="0"/>
        <v>8.7527352297592991</v>
      </c>
    </row>
    <row r="29" spans="1:18" x14ac:dyDescent="0.35">
      <c r="A29">
        <v>8</v>
      </c>
      <c r="B29" t="s">
        <v>29</v>
      </c>
      <c r="C29" t="s">
        <v>33</v>
      </c>
      <c r="D29">
        <v>15</v>
      </c>
      <c r="E29" t="s">
        <v>34</v>
      </c>
      <c r="F29">
        <v>15.4639175257732</v>
      </c>
      <c r="G29">
        <v>25</v>
      </c>
      <c r="H29" t="s">
        <v>35</v>
      </c>
      <c r="I29">
        <v>7.7881619937694708</v>
      </c>
      <c r="P29">
        <v>40</v>
      </c>
      <c r="Q29">
        <v>4.18</v>
      </c>
      <c r="R29">
        <f t="shared" si="0"/>
        <v>9.5693779904306222</v>
      </c>
    </row>
    <row r="30" spans="1:18" x14ac:dyDescent="0.35">
      <c r="A30">
        <v>8</v>
      </c>
      <c r="B30" t="s">
        <v>29</v>
      </c>
      <c r="C30" t="s">
        <v>36</v>
      </c>
      <c r="D30">
        <v>15</v>
      </c>
      <c r="E30" t="s">
        <v>37</v>
      </c>
      <c r="F30">
        <v>12.195121951219516</v>
      </c>
      <c r="G30">
        <v>25</v>
      </c>
      <c r="H30" t="s">
        <v>35</v>
      </c>
      <c r="I30">
        <v>8.5910652920962196</v>
      </c>
      <c r="P30">
        <v>40</v>
      </c>
      <c r="Q30">
        <v>4.1399999999999997</v>
      </c>
      <c r="R30">
        <f t="shared" si="0"/>
        <v>9.6618357487922708</v>
      </c>
    </row>
    <row r="31" spans="1:18" x14ac:dyDescent="0.35">
      <c r="A31">
        <v>9</v>
      </c>
      <c r="B31" t="s">
        <v>38</v>
      </c>
      <c r="C31">
        <v>3.07</v>
      </c>
      <c r="D31">
        <v>15</v>
      </c>
      <c r="E31">
        <v>5.88</v>
      </c>
      <c r="F31">
        <v>5.3380782918149468</v>
      </c>
      <c r="G31">
        <v>5</v>
      </c>
      <c r="H31" t="s">
        <v>39</v>
      </c>
      <c r="I31">
        <v>2.3923444976076556</v>
      </c>
      <c r="P31">
        <v>20</v>
      </c>
      <c r="Q31">
        <v>3.88</v>
      </c>
      <c r="R31">
        <f t="shared" si="0"/>
        <v>5.1546391752577323</v>
      </c>
    </row>
    <row r="32" spans="1:18" x14ac:dyDescent="0.35">
      <c r="A32">
        <v>9</v>
      </c>
      <c r="B32" t="s">
        <v>38</v>
      </c>
      <c r="C32">
        <v>3.12</v>
      </c>
      <c r="D32">
        <v>15</v>
      </c>
      <c r="E32" t="s">
        <v>40</v>
      </c>
      <c r="F32">
        <v>5.3380782918149476</v>
      </c>
      <c r="G32">
        <v>5</v>
      </c>
      <c r="H32" t="s">
        <v>41</v>
      </c>
      <c r="I32">
        <v>4.6728971962616814</v>
      </c>
      <c r="P32">
        <v>20</v>
      </c>
      <c r="Q32">
        <v>3.88</v>
      </c>
      <c r="R32">
        <f t="shared" si="0"/>
        <v>5.1546391752577323</v>
      </c>
    </row>
    <row r="33" spans="1:18" x14ac:dyDescent="0.35">
      <c r="A33">
        <v>9</v>
      </c>
      <c r="B33" t="s">
        <v>38</v>
      </c>
      <c r="C33">
        <v>3.13</v>
      </c>
      <c r="D33">
        <v>15</v>
      </c>
      <c r="E33" t="s">
        <v>42</v>
      </c>
      <c r="F33">
        <v>4.8387096774193541</v>
      </c>
      <c r="G33">
        <v>5</v>
      </c>
      <c r="H33" t="s">
        <v>35</v>
      </c>
      <c r="I33">
        <v>6.4102564102564159</v>
      </c>
      <c r="P33">
        <v>20</v>
      </c>
      <c r="Q33">
        <v>3.88</v>
      </c>
      <c r="R33">
        <f t="shared" si="0"/>
        <v>5.1546391752577323</v>
      </c>
    </row>
    <row r="34" spans="1:18" x14ac:dyDescent="0.35">
      <c r="A34">
        <v>10</v>
      </c>
      <c r="B34" t="s">
        <v>43</v>
      </c>
      <c r="C34">
        <v>3.01</v>
      </c>
      <c r="D34">
        <v>15</v>
      </c>
      <c r="E34">
        <v>3.54</v>
      </c>
      <c r="F34">
        <v>28.301886792452816</v>
      </c>
      <c r="G34">
        <v>25</v>
      </c>
      <c r="H34">
        <v>8.99</v>
      </c>
      <c r="I34">
        <v>4.5871559633027523</v>
      </c>
      <c r="P34">
        <v>40</v>
      </c>
      <c r="Q34">
        <v>5.98</v>
      </c>
      <c r="R34">
        <f t="shared" si="0"/>
        <v>6.6889632107023402</v>
      </c>
    </row>
    <row r="35" spans="1:18" x14ac:dyDescent="0.35">
      <c r="A35">
        <v>10</v>
      </c>
      <c r="B35" t="s">
        <v>43</v>
      </c>
      <c r="C35">
        <v>2.98</v>
      </c>
      <c r="D35">
        <v>15</v>
      </c>
      <c r="E35">
        <v>3.57</v>
      </c>
      <c r="F35">
        <v>25.423728813559329</v>
      </c>
      <c r="G35">
        <v>25</v>
      </c>
      <c r="H35">
        <v>9.56</v>
      </c>
      <c r="I35">
        <v>4.1736227045075127</v>
      </c>
      <c r="P35">
        <v>40</v>
      </c>
      <c r="Q35">
        <v>6.58</v>
      </c>
      <c r="R35">
        <f t="shared" si="0"/>
        <v>6.0790273556230998</v>
      </c>
    </row>
    <row r="36" spans="1:18" x14ac:dyDescent="0.35">
      <c r="A36">
        <v>10</v>
      </c>
      <c r="B36" t="s">
        <v>43</v>
      </c>
      <c r="C36">
        <v>2.66</v>
      </c>
      <c r="D36">
        <v>15</v>
      </c>
      <c r="E36">
        <v>3.64</v>
      </c>
      <c r="F36">
        <v>15.306122448979592</v>
      </c>
      <c r="G36">
        <v>25</v>
      </c>
      <c r="H36">
        <v>9.14</v>
      </c>
      <c r="I36">
        <v>4.5454545454545459</v>
      </c>
      <c r="P36">
        <v>40</v>
      </c>
      <c r="Q36">
        <v>6.48</v>
      </c>
      <c r="R36">
        <f t="shared" si="0"/>
        <v>6.1728395061728394</v>
      </c>
    </row>
    <row r="37" spans="1:18" x14ac:dyDescent="0.35">
      <c r="A37">
        <v>11</v>
      </c>
      <c r="B37" t="s">
        <v>44</v>
      </c>
      <c r="C37">
        <v>3.69</v>
      </c>
      <c r="D37">
        <v>15</v>
      </c>
      <c r="E37">
        <v>9.8000000000000007</v>
      </c>
      <c r="F37">
        <v>2.4549918166939437</v>
      </c>
      <c r="P37">
        <v>15</v>
      </c>
      <c r="Q37">
        <v>6.1100000000000012</v>
      </c>
      <c r="R37">
        <f t="shared" si="0"/>
        <v>2.4549918166939437</v>
      </c>
    </row>
    <row r="38" spans="1:18" x14ac:dyDescent="0.35">
      <c r="A38">
        <v>11</v>
      </c>
      <c r="B38" t="s">
        <v>44</v>
      </c>
      <c r="C38">
        <v>3.58</v>
      </c>
      <c r="D38">
        <v>15</v>
      </c>
      <c r="E38">
        <v>9.6999999999999993</v>
      </c>
      <c r="F38">
        <v>2.4509803921568629</v>
      </c>
      <c r="P38">
        <v>15</v>
      </c>
      <c r="Q38">
        <v>6.1199999999999992</v>
      </c>
      <c r="R38">
        <f t="shared" si="0"/>
        <v>2.4509803921568629</v>
      </c>
    </row>
    <row r="39" spans="1:18" x14ac:dyDescent="0.35">
      <c r="A39">
        <v>11</v>
      </c>
      <c r="B39" t="s">
        <v>44</v>
      </c>
      <c r="C39">
        <v>3.23</v>
      </c>
      <c r="D39">
        <v>15</v>
      </c>
      <c r="E39">
        <v>9.3000000000000007</v>
      </c>
      <c r="F39">
        <v>2.4711696869851729</v>
      </c>
      <c r="P39">
        <v>15</v>
      </c>
      <c r="Q39">
        <v>6.07</v>
      </c>
      <c r="R39">
        <f t="shared" si="0"/>
        <v>2.4711696869851729</v>
      </c>
    </row>
    <row r="40" spans="1:18" x14ac:dyDescent="0.35">
      <c r="A40">
        <v>12</v>
      </c>
      <c r="B40" t="s">
        <v>45</v>
      </c>
      <c r="C40">
        <v>3.45</v>
      </c>
      <c r="D40">
        <v>25</v>
      </c>
      <c r="E40">
        <v>6.39</v>
      </c>
      <c r="F40">
        <v>8.5034013605442187</v>
      </c>
      <c r="G40">
        <v>15</v>
      </c>
      <c r="H40">
        <v>6.72</v>
      </c>
      <c r="I40">
        <v>45.454545454545446</v>
      </c>
      <c r="J40">
        <v>15</v>
      </c>
      <c r="K40">
        <v>7.58</v>
      </c>
      <c r="L40">
        <v>17.441860465116271</v>
      </c>
      <c r="P40">
        <v>55</v>
      </c>
      <c r="Q40">
        <v>4.13</v>
      </c>
      <c r="R40">
        <f t="shared" si="0"/>
        <v>13.317191283292978</v>
      </c>
    </row>
    <row r="41" spans="1:18" x14ac:dyDescent="0.35">
      <c r="A41">
        <v>12</v>
      </c>
      <c r="B41" t="s">
        <v>45</v>
      </c>
      <c r="C41">
        <v>3.3</v>
      </c>
      <c r="D41">
        <v>25</v>
      </c>
      <c r="E41">
        <v>6.44</v>
      </c>
      <c r="F41">
        <v>7.9617834394904445</v>
      </c>
      <c r="G41">
        <v>15</v>
      </c>
      <c r="H41">
        <v>6.66</v>
      </c>
      <c r="I41">
        <v>68.181818181818258</v>
      </c>
      <c r="J41">
        <v>15</v>
      </c>
      <c r="K41">
        <v>7.51</v>
      </c>
      <c r="L41">
        <v>17.64705882352942</v>
      </c>
      <c r="P41">
        <v>55</v>
      </c>
      <c r="Q41">
        <v>4.21</v>
      </c>
      <c r="R41">
        <f t="shared" si="0"/>
        <v>13.064133016627078</v>
      </c>
    </row>
    <row r="42" spans="1:18" x14ac:dyDescent="0.35">
      <c r="A42">
        <v>12</v>
      </c>
      <c r="B42" t="s">
        <v>45</v>
      </c>
      <c r="C42">
        <v>3.27</v>
      </c>
      <c r="D42">
        <v>25</v>
      </c>
      <c r="E42">
        <v>6.58</v>
      </c>
      <c r="F42">
        <v>7.5528700906344408</v>
      </c>
      <c r="G42">
        <v>15</v>
      </c>
      <c r="H42">
        <v>6.66</v>
      </c>
      <c r="I42">
        <v>187.49999999999983</v>
      </c>
      <c r="J42">
        <v>15</v>
      </c>
      <c r="K42">
        <v>7.51</v>
      </c>
      <c r="L42">
        <v>17.64705882352942</v>
      </c>
      <c r="P42">
        <v>55</v>
      </c>
      <c r="Q42">
        <v>4.24</v>
      </c>
      <c r="R42">
        <f t="shared" si="0"/>
        <v>12.971698113207546</v>
      </c>
    </row>
    <row r="43" spans="1:18" x14ac:dyDescent="0.35">
      <c r="A43">
        <v>13</v>
      </c>
      <c r="B43" t="s">
        <v>46</v>
      </c>
      <c r="C43">
        <v>2.98</v>
      </c>
      <c r="D43">
        <v>25</v>
      </c>
      <c r="E43">
        <v>6.13</v>
      </c>
      <c r="F43">
        <v>7.9365079365079367</v>
      </c>
      <c r="G43">
        <v>15</v>
      </c>
      <c r="H43">
        <v>6.47</v>
      </c>
      <c r="I43">
        <v>44.11764705882355</v>
      </c>
      <c r="J43">
        <v>7.5</v>
      </c>
      <c r="K43">
        <v>7.31</v>
      </c>
      <c r="L43">
        <v>8.9285714285714306</v>
      </c>
      <c r="P43">
        <v>47.5</v>
      </c>
      <c r="Q43">
        <v>4.33</v>
      </c>
      <c r="R43">
        <f t="shared" si="0"/>
        <v>10.969976905311778</v>
      </c>
    </row>
    <row r="44" spans="1:18" x14ac:dyDescent="0.35">
      <c r="A44">
        <v>13</v>
      </c>
      <c r="B44" t="s">
        <v>46</v>
      </c>
      <c r="C44">
        <v>3.17</v>
      </c>
      <c r="D44">
        <v>25</v>
      </c>
      <c r="E44">
        <v>5.74</v>
      </c>
      <c r="F44">
        <v>9.7276264591439681</v>
      </c>
      <c r="G44">
        <v>15</v>
      </c>
      <c r="H44">
        <v>6.45</v>
      </c>
      <c r="I44">
        <v>21.126760563380284</v>
      </c>
      <c r="J44">
        <v>7.5</v>
      </c>
      <c r="K44">
        <v>7.93</v>
      </c>
      <c r="L44">
        <v>5.0675675675675693</v>
      </c>
      <c r="P44">
        <v>47.5</v>
      </c>
      <c r="Q44">
        <v>4.76</v>
      </c>
      <c r="R44">
        <f t="shared" si="0"/>
        <v>9.9789915966386555</v>
      </c>
    </row>
    <row r="45" spans="1:18" x14ac:dyDescent="0.35">
      <c r="A45">
        <v>13</v>
      </c>
      <c r="B45" t="s">
        <v>46</v>
      </c>
      <c r="C45">
        <v>3.33</v>
      </c>
      <c r="D45">
        <v>25</v>
      </c>
      <c r="E45">
        <v>7.3</v>
      </c>
      <c r="F45">
        <v>6.2972292191435768</v>
      </c>
      <c r="P45">
        <v>25</v>
      </c>
      <c r="Q45">
        <v>3.9699999999999998</v>
      </c>
      <c r="R45">
        <f t="shared" si="0"/>
        <v>6.2972292191435768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58C25-E667-4516-AD50-41FAA24464C9}">
  <dimension ref="A1:E45"/>
  <sheetViews>
    <sheetView workbookViewId="0">
      <selection activeCell="D4" sqref="D4"/>
    </sheetView>
  </sheetViews>
  <sheetFormatPr defaultRowHeight="14.5" x14ac:dyDescent="0.35"/>
  <sheetData>
    <row r="1" spans="1:5" x14ac:dyDescent="0.35">
      <c r="A1" t="s">
        <v>1</v>
      </c>
      <c r="B1" t="s">
        <v>2</v>
      </c>
      <c r="C1" t="s">
        <v>14</v>
      </c>
      <c r="D1" t="s">
        <v>15</v>
      </c>
      <c r="E1" t="s">
        <v>83</v>
      </c>
    </row>
    <row r="2" spans="1:5" x14ac:dyDescent="0.35">
      <c r="A2" t="s">
        <v>16</v>
      </c>
      <c r="B2">
        <v>3.58</v>
      </c>
      <c r="C2">
        <v>50</v>
      </c>
      <c r="D2">
        <v>3.5199999999999996</v>
      </c>
      <c r="E2">
        <f>C2/D2</f>
        <v>14.204545454545457</v>
      </c>
    </row>
    <row r="3" spans="1:5" x14ac:dyDescent="0.35">
      <c r="A3" t="s">
        <v>16</v>
      </c>
      <c r="B3">
        <v>3.3</v>
      </c>
      <c r="C3">
        <v>50</v>
      </c>
      <c r="D3">
        <v>3.9300000000000006</v>
      </c>
      <c r="E3">
        <f t="shared" ref="E3:E45" si="0">C3/D3</f>
        <v>12.722646310432568</v>
      </c>
    </row>
    <row r="4" spans="1:5" x14ac:dyDescent="0.35">
      <c r="A4" t="s">
        <v>16</v>
      </c>
      <c r="B4">
        <v>3.26</v>
      </c>
      <c r="C4">
        <v>50</v>
      </c>
      <c r="D4">
        <v>3.75</v>
      </c>
      <c r="E4">
        <f t="shared" si="0"/>
        <v>13.333333333333334</v>
      </c>
    </row>
    <row r="5" spans="1:5" x14ac:dyDescent="0.35">
      <c r="A5" t="s">
        <v>16</v>
      </c>
      <c r="B5">
        <v>3.24</v>
      </c>
      <c r="C5">
        <v>50.012500000000003</v>
      </c>
      <c r="D5">
        <v>3.5599999999999996</v>
      </c>
      <c r="E5">
        <f t="shared" si="0"/>
        <v>14.048455056179778</v>
      </c>
    </row>
    <row r="6" spans="1:5" x14ac:dyDescent="0.35">
      <c r="A6" t="s">
        <v>16</v>
      </c>
      <c r="B6">
        <v>3.19</v>
      </c>
      <c r="C6">
        <v>50.012500000000003</v>
      </c>
      <c r="D6">
        <v>3.82</v>
      </c>
      <c r="E6">
        <f t="shared" si="0"/>
        <v>13.092277486910996</v>
      </c>
    </row>
    <row r="7" spans="1:5" x14ac:dyDescent="0.35">
      <c r="A7" t="s">
        <v>18</v>
      </c>
      <c r="B7">
        <v>3.41</v>
      </c>
      <c r="C7">
        <v>9</v>
      </c>
      <c r="D7">
        <v>3.62</v>
      </c>
      <c r="E7">
        <f t="shared" si="0"/>
        <v>2.4861878453038675</v>
      </c>
    </row>
    <row r="8" spans="1:5" x14ac:dyDescent="0.35">
      <c r="A8" t="s">
        <v>18</v>
      </c>
      <c r="B8">
        <v>3.53</v>
      </c>
      <c r="C8">
        <v>22.5</v>
      </c>
      <c r="D8">
        <v>3.5000000000000004</v>
      </c>
      <c r="E8">
        <f t="shared" si="0"/>
        <v>6.4285714285714279</v>
      </c>
    </row>
    <row r="9" spans="1:5" x14ac:dyDescent="0.35">
      <c r="A9" t="s">
        <v>18</v>
      </c>
      <c r="B9">
        <v>3.59</v>
      </c>
      <c r="C9">
        <v>25</v>
      </c>
      <c r="D9">
        <v>3.9299999999999997</v>
      </c>
      <c r="E9">
        <f t="shared" si="0"/>
        <v>6.3613231552162857</v>
      </c>
    </row>
    <row r="10" spans="1:5" x14ac:dyDescent="0.35">
      <c r="A10" t="s">
        <v>18</v>
      </c>
      <c r="B10">
        <v>3.78</v>
      </c>
      <c r="C10">
        <v>3.375</v>
      </c>
      <c r="D10">
        <v>4.59</v>
      </c>
      <c r="E10">
        <f t="shared" si="0"/>
        <v>0.73529411764705888</v>
      </c>
    </row>
    <row r="11" spans="1:5" x14ac:dyDescent="0.35">
      <c r="A11" t="s">
        <v>18</v>
      </c>
      <c r="B11">
        <v>4</v>
      </c>
      <c r="C11">
        <v>3.5</v>
      </c>
      <c r="D11">
        <v>4.3800000000000008</v>
      </c>
      <c r="E11">
        <f t="shared" si="0"/>
        <v>0.79908675799086748</v>
      </c>
    </row>
    <row r="12" spans="1:5" x14ac:dyDescent="0.35">
      <c r="A12" t="s">
        <v>19</v>
      </c>
      <c r="B12">
        <v>1.99</v>
      </c>
      <c r="C12">
        <v>7.5</v>
      </c>
      <c r="D12">
        <v>5.75</v>
      </c>
      <c r="E12">
        <f t="shared" si="0"/>
        <v>1.3043478260869565</v>
      </c>
    </row>
    <row r="13" spans="1:5" x14ac:dyDescent="0.35">
      <c r="A13" t="s">
        <v>19</v>
      </c>
      <c r="B13">
        <v>2.02</v>
      </c>
      <c r="C13">
        <v>10</v>
      </c>
      <c r="D13">
        <v>6.75</v>
      </c>
      <c r="E13">
        <f t="shared" si="0"/>
        <v>1.4814814814814814</v>
      </c>
    </row>
    <row r="14" spans="1:5" x14ac:dyDescent="0.35">
      <c r="A14" t="s">
        <v>19</v>
      </c>
      <c r="B14">
        <v>2.23</v>
      </c>
      <c r="C14">
        <v>12.5</v>
      </c>
      <c r="D14">
        <v>7.52</v>
      </c>
      <c r="E14">
        <f t="shared" si="0"/>
        <v>1.6622340425531916</v>
      </c>
    </row>
    <row r="15" spans="1:5" x14ac:dyDescent="0.35">
      <c r="A15" t="s">
        <v>19</v>
      </c>
      <c r="B15">
        <v>2.21</v>
      </c>
      <c r="C15">
        <v>12.5</v>
      </c>
      <c r="D15">
        <v>6.61</v>
      </c>
      <c r="E15">
        <f t="shared" si="0"/>
        <v>1.8910741301059</v>
      </c>
    </row>
    <row r="16" spans="1:5" x14ac:dyDescent="0.35">
      <c r="A16" t="s">
        <v>19</v>
      </c>
      <c r="B16">
        <v>2.16</v>
      </c>
      <c r="C16">
        <v>12.5</v>
      </c>
      <c r="D16">
        <v>6.9700000000000006</v>
      </c>
      <c r="E16">
        <f t="shared" si="0"/>
        <v>1.7934002869440457</v>
      </c>
    </row>
    <row r="17" spans="1:5" x14ac:dyDescent="0.35">
      <c r="A17" t="s">
        <v>20</v>
      </c>
      <c r="B17">
        <v>3.77</v>
      </c>
      <c r="C17">
        <v>40</v>
      </c>
      <c r="D17">
        <v>3.28</v>
      </c>
      <c r="E17">
        <f t="shared" si="0"/>
        <v>12.195121951219512</v>
      </c>
    </row>
    <row r="18" spans="1:5" x14ac:dyDescent="0.35">
      <c r="A18" t="s">
        <v>20</v>
      </c>
      <c r="B18">
        <v>3.79</v>
      </c>
      <c r="C18">
        <v>40</v>
      </c>
      <c r="D18">
        <v>3.5300000000000002</v>
      </c>
      <c r="E18">
        <f t="shared" si="0"/>
        <v>11.331444759206798</v>
      </c>
    </row>
    <row r="19" spans="1:5" x14ac:dyDescent="0.35">
      <c r="A19" t="s">
        <v>21</v>
      </c>
      <c r="B19">
        <v>3.72</v>
      </c>
      <c r="C19">
        <v>7.5</v>
      </c>
      <c r="D19">
        <v>3.6299999999999994</v>
      </c>
      <c r="E19">
        <f t="shared" si="0"/>
        <v>2.0661157024793391</v>
      </c>
    </row>
    <row r="20" spans="1:5" x14ac:dyDescent="0.35">
      <c r="A20" t="s">
        <v>21</v>
      </c>
      <c r="B20">
        <v>3.76</v>
      </c>
      <c r="C20">
        <v>7.5</v>
      </c>
      <c r="D20">
        <v>3.4800000000000004</v>
      </c>
      <c r="E20">
        <f t="shared" si="0"/>
        <v>2.1551724137931032</v>
      </c>
    </row>
    <row r="21" spans="1:5" x14ac:dyDescent="0.35">
      <c r="A21" t="s">
        <v>21</v>
      </c>
      <c r="B21">
        <v>3.7</v>
      </c>
      <c r="C21">
        <v>7.5</v>
      </c>
      <c r="D21">
        <v>3.9799999999999995</v>
      </c>
      <c r="E21">
        <f t="shared" si="0"/>
        <v>1.8844221105527641</v>
      </c>
    </row>
    <row r="22" spans="1:5" x14ac:dyDescent="0.35">
      <c r="A22" t="s">
        <v>24</v>
      </c>
      <c r="B22">
        <v>3.2</v>
      </c>
      <c r="C22">
        <v>38</v>
      </c>
      <c r="D22">
        <v>3.95</v>
      </c>
      <c r="E22">
        <f t="shared" si="0"/>
        <v>9.6202531645569618</v>
      </c>
    </row>
    <row r="23" spans="1:5" x14ac:dyDescent="0.35">
      <c r="A23" t="s">
        <v>24</v>
      </c>
      <c r="B23">
        <v>3.26</v>
      </c>
      <c r="C23">
        <v>38</v>
      </c>
      <c r="D23">
        <v>3.92</v>
      </c>
      <c r="E23">
        <f t="shared" si="0"/>
        <v>9.6938775510204085</v>
      </c>
    </row>
    <row r="24" spans="1:5" x14ac:dyDescent="0.35">
      <c r="A24" t="s">
        <v>24</v>
      </c>
      <c r="B24">
        <v>3.17</v>
      </c>
      <c r="C24">
        <v>38</v>
      </c>
      <c r="D24">
        <v>3.9699999999999998</v>
      </c>
      <c r="E24">
        <f t="shared" si="0"/>
        <v>9.571788413098238</v>
      </c>
    </row>
    <row r="25" spans="1:5" x14ac:dyDescent="0.35">
      <c r="A25" t="s">
        <v>28</v>
      </c>
      <c r="B25">
        <v>3.36</v>
      </c>
      <c r="C25">
        <v>23</v>
      </c>
      <c r="D25">
        <v>3.64</v>
      </c>
      <c r="E25">
        <f t="shared" si="0"/>
        <v>6.3186813186813184</v>
      </c>
    </row>
    <row r="26" spans="1:5" x14ac:dyDescent="0.35">
      <c r="A26" t="s">
        <v>28</v>
      </c>
      <c r="B26">
        <v>3.36</v>
      </c>
      <c r="C26">
        <v>23</v>
      </c>
      <c r="D26">
        <v>5.2700000000000014</v>
      </c>
      <c r="E26">
        <f t="shared" si="0"/>
        <v>4.364326375711574</v>
      </c>
    </row>
    <row r="27" spans="1:5" x14ac:dyDescent="0.35">
      <c r="A27" t="s">
        <v>28</v>
      </c>
      <c r="B27">
        <v>3.37</v>
      </c>
      <c r="C27">
        <v>23</v>
      </c>
      <c r="D27">
        <v>4.7600000000000007</v>
      </c>
      <c r="E27">
        <f t="shared" si="0"/>
        <v>4.8319327731092434</v>
      </c>
    </row>
    <row r="28" spans="1:5" x14ac:dyDescent="0.35">
      <c r="A28" t="s">
        <v>29</v>
      </c>
      <c r="B28" t="s">
        <v>30</v>
      </c>
      <c r="C28">
        <v>40</v>
      </c>
      <c r="D28">
        <v>4.57</v>
      </c>
      <c r="E28">
        <f t="shared" si="0"/>
        <v>8.7527352297592991</v>
      </c>
    </row>
    <row r="29" spans="1:5" x14ac:dyDescent="0.35">
      <c r="A29" t="s">
        <v>29</v>
      </c>
      <c r="B29" t="s">
        <v>33</v>
      </c>
      <c r="C29">
        <v>40</v>
      </c>
      <c r="D29">
        <v>4.18</v>
      </c>
      <c r="E29">
        <f t="shared" si="0"/>
        <v>9.5693779904306222</v>
      </c>
    </row>
    <row r="30" spans="1:5" x14ac:dyDescent="0.35">
      <c r="A30" t="s">
        <v>29</v>
      </c>
      <c r="B30" t="s">
        <v>36</v>
      </c>
      <c r="C30">
        <v>40</v>
      </c>
      <c r="D30">
        <v>4.1399999999999997</v>
      </c>
      <c r="E30">
        <f t="shared" si="0"/>
        <v>9.6618357487922708</v>
      </c>
    </row>
    <row r="31" spans="1:5" x14ac:dyDescent="0.35">
      <c r="A31" t="s">
        <v>38</v>
      </c>
      <c r="B31">
        <v>3.07</v>
      </c>
      <c r="C31">
        <v>20</v>
      </c>
      <c r="D31">
        <v>3.88</v>
      </c>
      <c r="E31">
        <f t="shared" si="0"/>
        <v>5.1546391752577323</v>
      </c>
    </row>
    <row r="32" spans="1:5" x14ac:dyDescent="0.35">
      <c r="A32" t="s">
        <v>38</v>
      </c>
      <c r="B32">
        <v>3.12</v>
      </c>
      <c r="C32">
        <v>20</v>
      </c>
      <c r="D32">
        <v>3.88</v>
      </c>
      <c r="E32">
        <f t="shared" si="0"/>
        <v>5.1546391752577323</v>
      </c>
    </row>
    <row r="33" spans="1:5" x14ac:dyDescent="0.35">
      <c r="A33" t="s">
        <v>38</v>
      </c>
      <c r="B33">
        <v>3.13</v>
      </c>
      <c r="C33">
        <v>20</v>
      </c>
      <c r="D33">
        <v>3.88</v>
      </c>
      <c r="E33">
        <f t="shared" si="0"/>
        <v>5.1546391752577323</v>
      </c>
    </row>
    <row r="34" spans="1:5" x14ac:dyDescent="0.35">
      <c r="A34" t="s">
        <v>43</v>
      </c>
      <c r="B34">
        <v>3.01</v>
      </c>
      <c r="C34">
        <v>40</v>
      </c>
      <c r="D34">
        <v>5.98</v>
      </c>
      <c r="E34">
        <f t="shared" si="0"/>
        <v>6.6889632107023402</v>
      </c>
    </row>
    <row r="35" spans="1:5" x14ac:dyDescent="0.35">
      <c r="A35" t="s">
        <v>43</v>
      </c>
      <c r="B35">
        <v>2.98</v>
      </c>
      <c r="C35">
        <v>40</v>
      </c>
      <c r="D35">
        <v>6.58</v>
      </c>
      <c r="E35">
        <f t="shared" si="0"/>
        <v>6.0790273556230998</v>
      </c>
    </row>
    <row r="36" spans="1:5" x14ac:dyDescent="0.35">
      <c r="A36" t="s">
        <v>43</v>
      </c>
      <c r="B36">
        <v>2.66</v>
      </c>
      <c r="C36">
        <v>40</v>
      </c>
      <c r="D36">
        <v>6.48</v>
      </c>
      <c r="E36">
        <f t="shared" si="0"/>
        <v>6.1728395061728394</v>
      </c>
    </row>
    <row r="37" spans="1:5" x14ac:dyDescent="0.35">
      <c r="A37" t="s">
        <v>44</v>
      </c>
      <c r="B37">
        <v>3.69</v>
      </c>
      <c r="C37">
        <v>15</v>
      </c>
      <c r="D37">
        <v>6.1100000000000012</v>
      </c>
      <c r="E37">
        <f t="shared" si="0"/>
        <v>2.4549918166939437</v>
      </c>
    </row>
    <row r="38" spans="1:5" x14ac:dyDescent="0.35">
      <c r="A38" t="s">
        <v>44</v>
      </c>
      <c r="B38">
        <v>3.58</v>
      </c>
      <c r="C38">
        <v>15</v>
      </c>
      <c r="D38">
        <v>6.1199999999999992</v>
      </c>
      <c r="E38">
        <f t="shared" si="0"/>
        <v>2.4509803921568629</v>
      </c>
    </row>
    <row r="39" spans="1:5" x14ac:dyDescent="0.35">
      <c r="A39" t="s">
        <v>44</v>
      </c>
      <c r="B39">
        <v>3.23</v>
      </c>
      <c r="C39">
        <v>15</v>
      </c>
      <c r="D39">
        <v>6.07</v>
      </c>
      <c r="E39">
        <f t="shared" si="0"/>
        <v>2.4711696869851729</v>
      </c>
    </row>
    <row r="40" spans="1:5" x14ac:dyDescent="0.35">
      <c r="A40" t="s">
        <v>45</v>
      </c>
      <c r="B40">
        <v>3.45</v>
      </c>
      <c r="C40">
        <v>55</v>
      </c>
      <c r="D40">
        <v>4.13</v>
      </c>
      <c r="E40">
        <f t="shared" si="0"/>
        <v>13.317191283292978</v>
      </c>
    </row>
    <row r="41" spans="1:5" x14ac:dyDescent="0.35">
      <c r="A41" t="s">
        <v>45</v>
      </c>
      <c r="B41">
        <v>3.3</v>
      </c>
      <c r="C41">
        <v>55</v>
      </c>
      <c r="D41">
        <v>4.21</v>
      </c>
      <c r="E41">
        <f t="shared" si="0"/>
        <v>13.064133016627078</v>
      </c>
    </row>
    <row r="42" spans="1:5" x14ac:dyDescent="0.35">
      <c r="A42" t="s">
        <v>45</v>
      </c>
      <c r="B42">
        <v>3.27</v>
      </c>
      <c r="C42">
        <v>55</v>
      </c>
      <c r="D42">
        <v>4.24</v>
      </c>
      <c r="E42">
        <f t="shared" si="0"/>
        <v>12.971698113207546</v>
      </c>
    </row>
    <row r="43" spans="1:5" x14ac:dyDescent="0.35">
      <c r="A43" t="s">
        <v>46</v>
      </c>
      <c r="B43">
        <v>2.98</v>
      </c>
      <c r="C43">
        <v>47.5</v>
      </c>
      <c r="D43">
        <v>4.33</v>
      </c>
      <c r="E43">
        <f t="shared" si="0"/>
        <v>10.969976905311778</v>
      </c>
    </row>
    <row r="44" spans="1:5" x14ac:dyDescent="0.35">
      <c r="A44" t="s">
        <v>46</v>
      </c>
      <c r="B44">
        <v>3.17</v>
      </c>
      <c r="C44">
        <v>47.5</v>
      </c>
      <c r="D44">
        <v>4.76</v>
      </c>
      <c r="E44">
        <f t="shared" si="0"/>
        <v>9.9789915966386555</v>
      </c>
    </row>
    <row r="45" spans="1:5" x14ac:dyDescent="0.35">
      <c r="A45" t="s">
        <v>46</v>
      </c>
      <c r="B45">
        <v>3.33</v>
      </c>
      <c r="C45">
        <v>25</v>
      </c>
      <c r="D45">
        <v>3.9699999999999998</v>
      </c>
      <c r="E45">
        <f t="shared" si="0"/>
        <v>6.2972292191435768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1405E-6CEC-4ADE-BBC6-AD2141C8D2D7}">
  <dimension ref="A1:A52"/>
  <sheetViews>
    <sheetView tabSelected="1" workbookViewId="0">
      <selection activeCell="B3" sqref="B3"/>
    </sheetView>
  </sheetViews>
  <sheetFormatPr defaultRowHeight="14.5" x14ac:dyDescent="0.35"/>
  <sheetData>
    <row r="1" spans="1:1" x14ac:dyDescent="0.35">
      <c r="A1" t="s">
        <v>86</v>
      </c>
    </row>
    <row r="2" spans="1:1" x14ac:dyDescent="0.35">
      <c r="A2">
        <v>1000</v>
      </c>
    </row>
    <row r="3" spans="1:1" x14ac:dyDescent="0.35">
      <c r="A3">
        <v>416.66666666666669</v>
      </c>
    </row>
    <row r="4" spans="1:1" x14ac:dyDescent="0.35">
      <c r="A4">
        <v>1666.666666666667</v>
      </c>
    </row>
    <row r="5" spans="1:1" x14ac:dyDescent="0.35">
      <c r="A5">
        <v>416.66666666666669</v>
      </c>
    </row>
    <row r="6" spans="1:1" x14ac:dyDescent="0.35">
      <c r="A6">
        <v>714.28571428571433</v>
      </c>
    </row>
    <row r="7" spans="1:1" x14ac:dyDescent="0.35">
      <c r="A7">
        <v>479.16666666666657</v>
      </c>
    </row>
    <row r="8" spans="1:1" x14ac:dyDescent="0.35">
      <c r="A8">
        <v>736.8421052631578</v>
      </c>
    </row>
    <row r="9" spans="1:1" x14ac:dyDescent="0.35">
      <c r="A9">
        <v>717.39130434782589</v>
      </c>
    </row>
    <row r="10" spans="1:1" x14ac:dyDescent="0.35">
      <c r="A10">
        <v>35.714285714285722</v>
      </c>
    </row>
    <row r="11" spans="1:1" x14ac:dyDescent="0.35">
      <c r="A11">
        <v>-38.461538461538467</v>
      </c>
    </row>
    <row r="12" spans="1:1" x14ac:dyDescent="0.35">
      <c r="A12" t="s">
        <v>17</v>
      </c>
    </row>
    <row r="13" spans="1:1" x14ac:dyDescent="0.35">
      <c r="A13">
        <v>263.15789473684208</v>
      </c>
    </row>
    <row r="14" spans="1:1" x14ac:dyDescent="0.35">
      <c r="A14">
        <v>333.33333333333337</v>
      </c>
    </row>
    <row r="15" spans="1:1" x14ac:dyDescent="0.35">
      <c r="A15">
        <v>58.82352941176471</v>
      </c>
    </row>
    <row r="16" spans="1:1" x14ac:dyDescent="0.35">
      <c r="A16">
        <v>166.66666666666669</v>
      </c>
    </row>
    <row r="17" spans="1:1" x14ac:dyDescent="0.35">
      <c r="A17">
        <v>500</v>
      </c>
    </row>
    <row r="18" spans="1:1" x14ac:dyDescent="0.35">
      <c r="A18">
        <v>418.60465116279073</v>
      </c>
    </row>
    <row r="19" spans="1:1" x14ac:dyDescent="0.35">
      <c r="A19">
        <v>625</v>
      </c>
    </row>
    <row r="20" spans="1:1" x14ac:dyDescent="0.35">
      <c r="A20">
        <v>1176.4705882352939</v>
      </c>
    </row>
    <row r="21" spans="1:1" x14ac:dyDescent="0.35">
      <c r="A21">
        <v>1481.4814814814813</v>
      </c>
    </row>
    <row r="22" spans="1:1" x14ac:dyDescent="0.35">
      <c r="A22">
        <v>851.85185185185173</v>
      </c>
    </row>
    <row r="23" spans="1:1" x14ac:dyDescent="0.35">
      <c r="A23">
        <v>593.22033898305085</v>
      </c>
    </row>
    <row r="24" spans="1:1" x14ac:dyDescent="0.35">
      <c r="A24">
        <v>364.58333333333337</v>
      </c>
    </row>
    <row r="25" spans="1:1" x14ac:dyDescent="0.35">
      <c r="A25">
        <v>481.92771084337346</v>
      </c>
    </row>
    <row r="26" spans="1:1" x14ac:dyDescent="0.35">
      <c r="A26">
        <v>208.33333333333334</v>
      </c>
    </row>
    <row r="27" spans="1:1" x14ac:dyDescent="0.35">
      <c r="A27">
        <v>625</v>
      </c>
    </row>
    <row r="28" spans="1:1" x14ac:dyDescent="0.35">
      <c r="A28">
        <v>1176.4705882352939</v>
      </c>
    </row>
    <row r="29" spans="1:1" x14ac:dyDescent="0.35">
      <c r="A29">
        <v>510.94890510948909</v>
      </c>
    </row>
    <row r="30" spans="1:1" x14ac:dyDescent="0.35">
      <c r="A30">
        <v>488.18897637795277</v>
      </c>
    </row>
    <row r="31" spans="1:1" x14ac:dyDescent="0.35">
      <c r="A31">
        <v>860</v>
      </c>
    </row>
    <row r="32" spans="1:1" x14ac:dyDescent="0.35">
      <c r="A32">
        <v>555.55555555555554</v>
      </c>
    </row>
    <row r="33" spans="1:1" x14ac:dyDescent="0.35">
      <c r="A33">
        <v>714.28571428571433</v>
      </c>
    </row>
    <row r="34" spans="1:1" x14ac:dyDescent="0.35">
      <c r="A34">
        <v>571.42857142857156</v>
      </c>
    </row>
    <row r="35" spans="1:1" x14ac:dyDescent="0.35">
      <c r="A35">
        <v>350.87719298245617</v>
      </c>
    </row>
    <row r="36" spans="1:1" x14ac:dyDescent="0.35">
      <c r="A36">
        <v>298.50746268656712</v>
      </c>
    </row>
    <row r="37" spans="1:1" x14ac:dyDescent="0.35">
      <c r="A37">
        <v>486.11111111111103</v>
      </c>
    </row>
    <row r="38" spans="1:1" x14ac:dyDescent="0.35">
      <c r="A38">
        <v>354.33070866141736</v>
      </c>
    </row>
    <row r="39" spans="1:1" x14ac:dyDescent="0.35">
      <c r="A39">
        <v>372.34042553191489</v>
      </c>
    </row>
    <row r="40" spans="1:1" x14ac:dyDescent="0.35">
      <c r="A40">
        <v>225.8064516129032</v>
      </c>
    </row>
    <row r="41" spans="1:1" x14ac:dyDescent="0.35">
      <c r="A41">
        <v>1290.3225806451612</v>
      </c>
    </row>
    <row r="42" spans="1:1" x14ac:dyDescent="0.35">
      <c r="A42">
        <v>2692.3076923076915</v>
      </c>
    </row>
    <row r="43" spans="1:1" x14ac:dyDescent="0.35">
      <c r="A43">
        <v>1093.75</v>
      </c>
    </row>
    <row r="44" spans="1:1" x14ac:dyDescent="0.35">
      <c r="A44">
        <v>592.10526315789468</v>
      </c>
    </row>
    <row r="45" spans="1:1" x14ac:dyDescent="0.35">
      <c r="A45">
        <v>555.55555555555554</v>
      </c>
    </row>
    <row r="46" spans="1:1" x14ac:dyDescent="0.35">
      <c r="A46">
        <v>1153.8461538461538</v>
      </c>
    </row>
    <row r="47" spans="1:1" x14ac:dyDescent="0.35">
      <c r="A47">
        <v>642.85714285714289</v>
      </c>
    </row>
    <row r="48" spans="1:1" x14ac:dyDescent="0.35">
      <c r="A48">
        <v>255.81395348837211</v>
      </c>
    </row>
    <row r="49" spans="1:1" x14ac:dyDescent="0.35">
      <c r="A49">
        <v>638.29787234042544</v>
      </c>
    </row>
    <row r="50" spans="1:1" x14ac:dyDescent="0.35">
      <c r="A50">
        <v>2083.3333333333335</v>
      </c>
    </row>
    <row r="51" spans="1:1" x14ac:dyDescent="0.35">
      <c r="A51">
        <v>1666.6666666666667</v>
      </c>
    </row>
    <row r="52" spans="1:1" x14ac:dyDescent="0.35">
      <c r="A52">
        <v>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95BC-5CC6-4F69-9724-E7CC09A4C702}">
  <dimension ref="A1:AC93"/>
  <sheetViews>
    <sheetView zoomScaleNormal="100" workbookViewId="0">
      <selection activeCell="G6" sqref="G6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81</v>
      </c>
      <c r="G1" t="s">
        <v>22</v>
      </c>
      <c r="H1" t="s">
        <v>14</v>
      </c>
      <c r="I1" t="s">
        <v>15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10</v>
      </c>
      <c r="X1" t="s">
        <v>8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</row>
    <row r="2" spans="1:29" x14ac:dyDescent="0.35">
      <c r="A2">
        <v>1</v>
      </c>
      <c r="B2" t="s">
        <v>16</v>
      </c>
      <c r="C2">
        <v>3.58</v>
      </c>
      <c r="D2">
        <v>25</v>
      </c>
      <c r="E2">
        <v>5.51</v>
      </c>
      <c r="F2">
        <f>D2/(E2-C2)</f>
        <v>12.95336787564767</v>
      </c>
      <c r="G2">
        <f>E2-C2</f>
        <v>1.9299999999999997</v>
      </c>
      <c r="H2">
        <v>50</v>
      </c>
      <c r="I2">
        <v>3.5199999999999996</v>
      </c>
      <c r="M2" s="2">
        <v>1</v>
      </c>
      <c r="N2" s="2" t="s">
        <v>16</v>
      </c>
      <c r="O2" s="2">
        <v>3.58</v>
      </c>
      <c r="P2" s="2">
        <v>25</v>
      </c>
      <c r="Q2" s="2">
        <v>5.51</v>
      </c>
      <c r="R2" s="2">
        <v>12.95336787564767</v>
      </c>
      <c r="S2" s="2">
        <v>25</v>
      </c>
      <c r="T2" s="2">
        <v>7.1</v>
      </c>
      <c r="U2" s="2">
        <v>15.723270440251573</v>
      </c>
      <c r="V2" s="2" t="s">
        <v>17</v>
      </c>
      <c r="W2" s="2" t="s">
        <v>17</v>
      </c>
      <c r="X2" s="2"/>
      <c r="Y2" s="2"/>
      <c r="Z2" s="2"/>
      <c r="AA2" s="2"/>
      <c r="AB2">
        <v>50</v>
      </c>
      <c r="AC2">
        <v>3.5199999999999996</v>
      </c>
    </row>
    <row r="3" spans="1:29" x14ac:dyDescent="0.35">
      <c r="A3">
        <v>1</v>
      </c>
      <c r="B3" t="s">
        <v>16</v>
      </c>
      <c r="C3">
        <v>3.3</v>
      </c>
      <c r="D3">
        <v>25</v>
      </c>
      <c r="E3">
        <v>5.26</v>
      </c>
      <c r="F3">
        <f t="shared" ref="F3:F13" si="0">D3/(E3-C3)</f>
        <v>12.755102040816327</v>
      </c>
      <c r="G3">
        <f t="shared" ref="G3:G23" si="1">E3-C3</f>
        <v>1.96</v>
      </c>
      <c r="H3">
        <v>50</v>
      </c>
      <c r="I3">
        <v>3.9300000000000006</v>
      </c>
      <c r="M3" s="2">
        <v>1</v>
      </c>
      <c r="N3" s="2" t="s">
        <v>16</v>
      </c>
      <c r="O3" s="2">
        <v>3.3</v>
      </c>
      <c r="P3" s="2">
        <v>25</v>
      </c>
      <c r="Q3" s="2">
        <v>5.26</v>
      </c>
      <c r="R3" s="2">
        <v>12.755102040816327</v>
      </c>
      <c r="S3" s="2">
        <v>25</v>
      </c>
      <c r="T3" s="2">
        <v>7.23</v>
      </c>
      <c r="U3" s="2">
        <v>12.690355329949234</v>
      </c>
      <c r="V3" s="2" t="s">
        <v>17</v>
      </c>
      <c r="W3" s="2" t="s">
        <v>17</v>
      </c>
      <c r="X3" s="2"/>
      <c r="Y3" s="2"/>
      <c r="Z3" s="2"/>
      <c r="AA3" s="2"/>
      <c r="AB3">
        <v>50</v>
      </c>
      <c r="AC3">
        <v>3.9300000000000006</v>
      </c>
    </row>
    <row r="4" spans="1:29" x14ac:dyDescent="0.35">
      <c r="A4">
        <v>1</v>
      </c>
      <c r="B4" t="s">
        <v>16</v>
      </c>
      <c r="C4">
        <v>3.26</v>
      </c>
      <c r="D4">
        <v>25</v>
      </c>
      <c r="E4">
        <v>4.93</v>
      </c>
      <c r="F4">
        <f t="shared" si="0"/>
        <v>14.970059880239521</v>
      </c>
      <c r="G4">
        <f t="shared" si="1"/>
        <v>1.67</v>
      </c>
      <c r="H4">
        <v>50</v>
      </c>
      <c r="I4">
        <v>3.75</v>
      </c>
      <c r="M4" s="2">
        <v>1</v>
      </c>
      <c r="N4" s="2" t="s">
        <v>16</v>
      </c>
      <c r="O4" s="2">
        <v>3.26</v>
      </c>
      <c r="P4" s="2">
        <v>25</v>
      </c>
      <c r="Q4" s="2">
        <v>4.93</v>
      </c>
      <c r="R4" s="2">
        <v>14.970059880239521</v>
      </c>
      <c r="S4" s="2">
        <v>25</v>
      </c>
      <c r="T4" s="2">
        <v>7.01</v>
      </c>
      <c r="U4" s="2">
        <v>12.019230769230768</v>
      </c>
      <c r="V4" s="2" t="s">
        <v>17</v>
      </c>
      <c r="W4" s="2" t="s">
        <v>17</v>
      </c>
      <c r="X4" s="2"/>
      <c r="Y4" s="2"/>
      <c r="Z4" s="2"/>
      <c r="AA4" s="2"/>
      <c r="AB4">
        <v>50</v>
      </c>
      <c r="AC4">
        <v>3.75</v>
      </c>
    </row>
    <row r="5" spans="1:29" x14ac:dyDescent="0.35">
      <c r="A5">
        <v>1</v>
      </c>
      <c r="B5" t="s">
        <v>16</v>
      </c>
      <c r="C5">
        <v>3.24</v>
      </c>
      <c r="D5">
        <v>25</v>
      </c>
      <c r="E5">
        <v>4.18</v>
      </c>
      <c r="F5">
        <f t="shared" si="0"/>
        <v>26.595744680851077</v>
      </c>
      <c r="G5">
        <f t="shared" si="1"/>
        <v>0.9399999999999995</v>
      </c>
      <c r="H5">
        <v>50.012500000000003</v>
      </c>
      <c r="I5">
        <v>3.5599999999999996</v>
      </c>
      <c r="M5" s="2">
        <v>1</v>
      </c>
      <c r="N5" s="2" t="s">
        <v>16</v>
      </c>
      <c r="O5" s="2">
        <v>3.24</v>
      </c>
      <c r="P5" s="2">
        <v>25</v>
      </c>
      <c r="Q5" s="2">
        <v>4.18</v>
      </c>
      <c r="R5" s="2">
        <v>26.595744680851077</v>
      </c>
      <c r="S5" s="2">
        <v>25</v>
      </c>
      <c r="T5" s="2">
        <v>6.56</v>
      </c>
      <c r="U5" s="2">
        <v>10.504201680672269</v>
      </c>
      <c r="V5" s="2">
        <v>1.2500000000000001E-2</v>
      </c>
      <c r="W5" s="2">
        <v>6.8</v>
      </c>
      <c r="X5" s="2">
        <v>5.2083333333333287E-2</v>
      </c>
      <c r="Y5" s="2"/>
      <c r="Z5" s="2"/>
      <c r="AA5" s="2"/>
      <c r="AB5" s="2">
        <v>50.012500000000003</v>
      </c>
      <c r="AC5" s="2">
        <v>3.5599999999999996</v>
      </c>
    </row>
    <row r="6" spans="1:29" x14ac:dyDescent="0.35">
      <c r="A6">
        <v>1</v>
      </c>
      <c r="B6" t="s">
        <v>16</v>
      </c>
      <c r="C6">
        <v>3.19</v>
      </c>
      <c r="D6">
        <v>25</v>
      </c>
      <c r="E6">
        <v>5.25</v>
      </c>
      <c r="F6">
        <f t="shared" si="0"/>
        <v>12.135922330097086</v>
      </c>
      <c r="G6">
        <f t="shared" si="1"/>
        <v>2.06</v>
      </c>
      <c r="H6">
        <v>50.012500000000003</v>
      </c>
      <c r="I6">
        <v>3.82</v>
      </c>
      <c r="M6" s="2">
        <v>1</v>
      </c>
      <c r="N6" s="2" t="s">
        <v>16</v>
      </c>
      <c r="O6" s="2">
        <v>3.19</v>
      </c>
      <c r="P6" s="2">
        <v>25</v>
      </c>
      <c r="Q6" s="2">
        <v>5.25</v>
      </c>
      <c r="R6" s="2">
        <v>12.135922330097086</v>
      </c>
      <c r="S6" s="2">
        <v>25</v>
      </c>
      <c r="T6" s="2">
        <v>6.64</v>
      </c>
      <c r="U6" s="2">
        <v>17.985611510791372</v>
      </c>
      <c r="V6" s="2">
        <v>1.2500000000000001E-2</v>
      </c>
      <c r="W6" s="2">
        <v>7.01</v>
      </c>
      <c r="X6" s="2">
        <v>3.3783783783783779E-2</v>
      </c>
      <c r="Y6" s="2"/>
      <c r="Z6" s="2"/>
      <c r="AA6" s="2"/>
      <c r="AB6" s="2">
        <v>50.012500000000003</v>
      </c>
      <c r="AC6" s="2">
        <v>3.82</v>
      </c>
    </row>
    <row r="7" spans="1:29" x14ac:dyDescent="0.35">
      <c r="A7">
        <v>1</v>
      </c>
      <c r="B7" t="s">
        <v>16</v>
      </c>
      <c r="C7">
        <v>5.51</v>
      </c>
      <c r="D7">
        <v>25</v>
      </c>
      <c r="E7">
        <v>7.1</v>
      </c>
      <c r="F7">
        <f t="shared" si="0"/>
        <v>15.723270440251573</v>
      </c>
      <c r="G7">
        <f t="shared" si="1"/>
        <v>1.5899999999999999</v>
      </c>
      <c r="M7" s="2">
        <v>2</v>
      </c>
      <c r="N7" s="2" t="s">
        <v>18</v>
      </c>
      <c r="O7" s="2">
        <v>3.41</v>
      </c>
      <c r="P7" s="2">
        <v>2.5</v>
      </c>
      <c r="Q7" s="2">
        <v>4.0199999999999996</v>
      </c>
      <c r="R7" s="2">
        <v>4.098360655737709</v>
      </c>
      <c r="S7">
        <v>6.5</v>
      </c>
      <c r="T7">
        <v>7.03</v>
      </c>
      <c r="U7">
        <v>2.1594684385382057</v>
      </c>
      <c r="V7" t="s">
        <v>17</v>
      </c>
      <c r="W7" t="s">
        <v>17</v>
      </c>
      <c r="X7" t="s">
        <v>17</v>
      </c>
      <c r="AB7">
        <v>9</v>
      </c>
      <c r="AC7">
        <v>3.62</v>
      </c>
    </row>
    <row r="8" spans="1:29" x14ac:dyDescent="0.35">
      <c r="A8">
        <v>1</v>
      </c>
      <c r="B8" t="s">
        <v>16</v>
      </c>
      <c r="C8">
        <v>5.26</v>
      </c>
      <c r="D8">
        <v>25</v>
      </c>
      <c r="E8">
        <v>7.23</v>
      </c>
      <c r="F8">
        <f t="shared" si="0"/>
        <v>12.690355329949234</v>
      </c>
      <c r="G8">
        <f t="shared" si="1"/>
        <v>1.9700000000000006</v>
      </c>
      <c r="M8" s="2">
        <v>2</v>
      </c>
      <c r="N8" s="2" t="s">
        <v>18</v>
      </c>
      <c r="O8" s="2">
        <v>3.53</v>
      </c>
      <c r="P8" s="2">
        <v>7.5</v>
      </c>
      <c r="Q8" s="2">
        <v>3.76</v>
      </c>
      <c r="R8" s="2">
        <v>32.608695652173914</v>
      </c>
      <c r="S8">
        <v>12.5</v>
      </c>
      <c r="T8">
        <v>6.64</v>
      </c>
      <c r="U8">
        <v>4.3402777777777777</v>
      </c>
      <c r="V8">
        <v>2.5</v>
      </c>
      <c r="W8">
        <v>7.03</v>
      </c>
      <c r="X8">
        <v>6.4102564102564008</v>
      </c>
      <c r="AB8">
        <v>22.5</v>
      </c>
      <c r="AC8">
        <v>3.5000000000000004</v>
      </c>
    </row>
    <row r="9" spans="1:29" x14ac:dyDescent="0.35">
      <c r="A9">
        <v>1</v>
      </c>
      <c r="B9" t="s">
        <v>16</v>
      </c>
      <c r="C9">
        <v>4.93</v>
      </c>
      <c r="D9">
        <v>25</v>
      </c>
      <c r="E9">
        <v>7.01</v>
      </c>
      <c r="F9">
        <f t="shared" si="0"/>
        <v>12.019230769230768</v>
      </c>
      <c r="G9">
        <f t="shared" si="1"/>
        <v>2.08</v>
      </c>
      <c r="M9" s="2">
        <v>2</v>
      </c>
      <c r="N9" s="2" t="s">
        <v>18</v>
      </c>
      <c r="O9" s="2">
        <v>3.59</v>
      </c>
      <c r="P9" s="2">
        <v>12.5</v>
      </c>
      <c r="Q9" s="2">
        <v>3.68</v>
      </c>
      <c r="R9" s="2">
        <v>138.88888888888843</v>
      </c>
      <c r="S9">
        <v>12.5</v>
      </c>
      <c r="T9">
        <v>7.52</v>
      </c>
      <c r="U9">
        <v>3.2552083333333339</v>
      </c>
      <c r="V9" t="s">
        <v>17</v>
      </c>
      <c r="W9" t="s">
        <v>17</v>
      </c>
      <c r="X9" t="s">
        <v>17</v>
      </c>
      <c r="AB9">
        <v>25</v>
      </c>
      <c r="AC9">
        <v>3.9299999999999997</v>
      </c>
    </row>
    <row r="10" spans="1:29" x14ac:dyDescent="0.35">
      <c r="A10">
        <v>1</v>
      </c>
      <c r="B10" t="s">
        <v>16</v>
      </c>
      <c r="C10">
        <v>4.18</v>
      </c>
      <c r="D10">
        <v>25</v>
      </c>
      <c r="E10">
        <v>6.56</v>
      </c>
      <c r="F10">
        <f t="shared" si="0"/>
        <v>10.504201680672269</v>
      </c>
      <c r="G10">
        <f t="shared" si="1"/>
        <v>2.38</v>
      </c>
      <c r="M10" s="2">
        <v>2</v>
      </c>
      <c r="N10" s="2" t="s">
        <v>18</v>
      </c>
      <c r="O10" s="2">
        <v>3.78</v>
      </c>
      <c r="P10" s="2">
        <v>0.125</v>
      </c>
      <c r="Q10" s="2">
        <v>4.13</v>
      </c>
      <c r="R10" s="2">
        <v>0.35714285714285704</v>
      </c>
      <c r="S10">
        <v>0.375</v>
      </c>
      <c r="T10">
        <v>5.98</v>
      </c>
      <c r="U10">
        <v>0.20270270270270263</v>
      </c>
      <c r="V10">
        <v>0.375</v>
      </c>
      <c r="W10">
        <v>6.36</v>
      </c>
      <c r="X10">
        <v>0.98684210526315819</v>
      </c>
      <c r="Y10">
        <v>2.5</v>
      </c>
      <c r="Z10">
        <v>8.3699999999999992</v>
      </c>
      <c r="AA10">
        <v>1.243781094527364</v>
      </c>
      <c r="AB10">
        <v>3.375</v>
      </c>
      <c r="AC10">
        <v>4.59</v>
      </c>
    </row>
    <row r="11" spans="1:29" x14ac:dyDescent="0.35">
      <c r="A11">
        <v>1</v>
      </c>
      <c r="B11" t="s">
        <v>16</v>
      </c>
      <c r="C11">
        <v>5.25</v>
      </c>
      <c r="D11">
        <v>25</v>
      </c>
      <c r="E11">
        <v>6.64</v>
      </c>
      <c r="F11">
        <f t="shared" si="0"/>
        <v>17.985611510791372</v>
      </c>
      <c r="G11">
        <f t="shared" si="1"/>
        <v>1.3899999999999997</v>
      </c>
      <c r="M11" s="2">
        <v>2</v>
      </c>
      <c r="N11" s="2" t="s">
        <v>18</v>
      </c>
      <c r="O11" s="2">
        <v>4</v>
      </c>
      <c r="P11" s="2">
        <v>0.125</v>
      </c>
      <c r="Q11" s="2">
        <v>3.71</v>
      </c>
      <c r="R11" s="2">
        <v>-0.43103448275862066</v>
      </c>
      <c r="S11">
        <v>0.125</v>
      </c>
      <c r="T11">
        <v>3.88</v>
      </c>
      <c r="U11">
        <v>0.7352941176470591</v>
      </c>
      <c r="V11">
        <v>0.75</v>
      </c>
      <c r="W11">
        <v>4.53</v>
      </c>
      <c r="X11">
        <v>1.1538461538461533</v>
      </c>
      <c r="Y11">
        <v>2.5</v>
      </c>
      <c r="Z11">
        <v>8.3800000000000008</v>
      </c>
      <c r="AA11">
        <v>0.64935064935064923</v>
      </c>
      <c r="AB11">
        <v>3.5</v>
      </c>
      <c r="AC11">
        <v>4.3800000000000008</v>
      </c>
    </row>
    <row r="12" spans="1:29" x14ac:dyDescent="0.35">
      <c r="A12">
        <v>1</v>
      </c>
      <c r="B12" t="s">
        <v>16</v>
      </c>
      <c r="C12">
        <v>6.56</v>
      </c>
      <c r="D12">
        <v>1.2500000000000001E-2</v>
      </c>
      <c r="E12">
        <v>6.8</v>
      </c>
      <c r="F12">
        <f t="shared" si="0"/>
        <v>5.2083333333333287E-2</v>
      </c>
      <c r="G12">
        <f t="shared" si="1"/>
        <v>0.24000000000000021</v>
      </c>
      <c r="M12">
        <v>3</v>
      </c>
      <c r="N12" t="s">
        <v>19</v>
      </c>
      <c r="O12">
        <v>1.99</v>
      </c>
      <c r="P12">
        <v>2.5</v>
      </c>
      <c r="Q12">
        <v>4.13</v>
      </c>
      <c r="R12">
        <v>1.1682242990654208</v>
      </c>
      <c r="S12">
        <v>5</v>
      </c>
      <c r="T12">
        <v>7.74</v>
      </c>
      <c r="U12">
        <v>1.3850415512465373</v>
      </c>
      <c r="AB12">
        <v>7.5</v>
      </c>
      <c r="AC12">
        <v>5.75</v>
      </c>
    </row>
    <row r="13" spans="1:29" x14ac:dyDescent="0.35">
      <c r="A13">
        <v>1</v>
      </c>
      <c r="B13" t="s">
        <v>16</v>
      </c>
      <c r="C13">
        <v>6.64</v>
      </c>
      <c r="D13">
        <v>1.2500000000000001E-2</v>
      </c>
      <c r="E13">
        <v>7.01</v>
      </c>
      <c r="F13">
        <f t="shared" si="0"/>
        <v>3.3783783783783779E-2</v>
      </c>
      <c r="G13">
        <f t="shared" si="1"/>
        <v>0.37000000000000011</v>
      </c>
      <c r="M13">
        <v>3</v>
      </c>
      <c r="N13" t="s">
        <v>19</v>
      </c>
      <c r="O13">
        <v>2.02</v>
      </c>
      <c r="P13">
        <v>2.5</v>
      </c>
      <c r="Q13">
        <v>4.05</v>
      </c>
      <c r="R13">
        <v>1.2315270935960592</v>
      </c>
      <c r="S13">
        <v>7.5</v>
      </c>
      <c r="T13">
        <v>8.77</v>
      </c>
      <c r="U13">
        <v>1.5889830508474576</v>
      </c>
      <c r="AB13">
        <v>10</v>
      </c>
      <c r="AC13">
        <v>6.75</v>
      </c>
    </row>
    <row r="14" spans="1:29" x14ac:dyDescent="0.35">
      <c r="A14">
        <v>2</v>
      </c>
      <c r="B14" t="s">
        <v>18</v>
      </c>
      <c r="C14">
        <v>3.41</v>
      </c>
      <c r="D14">
        <v>2.5</v>
      </c>
      <c r="E14">
        <v>4.0199999999999996</v>
      </c>
      <c r="F14">
        <v>4.098360655737709</v>
      </c>
      <c r="G14">
        <f t="shared" si="1"/>
        <v>0.60999999999999943</v>
      </c>
      <c r="H14">
        <v>9</v>
      </c>
      <c r="I14">
        <v>3.62</v>
      </c>
      <c r="M14">
        <v>3</v>
      </c>
      <c r="N14" t="s">
        <v>19</v>
      </c>
      <c r="O14">
        <v>2.23</v>
      </c>
      <c r="P14">
        <v>12.5</v>
      </c>
      <c r="Q14">
        <v>9.75</v>
      </c>
      <c r="R14">
        <v>1.6622340425531916</v>
      </c>
      <c r="AB14">
        <v>12.5</v>
      </c>
      <c r="AC14">
        <v>7.52</v>
      </c>
    </row>
    <row r="15" spans="1:29" x14ac:dyDescent="0.35">
      <c r="A15">
        <v>2</v>
      </c>
      <c r="B15" t="s">
        <v>18</v>
      </c>
      <c r="C15">
        <v>3.53</v>
      </c>
      <c r="D15">
        <v>7.5</v>
      </c>
      <c r="E15">
        <v>3.76</v>
      </c>
      <c r="F15">
        <v>32.608695652173914</v>
      </c>
      <c r="G15">
        <f t="shared" si="1"/>
        <v>0.22999999999999998</v>
      </c>
      <c r="H15">
        <v>22.5</v>
      </c>
      <c r="I15">
        <v>3.5000000000000004</v>
      </c>
      <c r="M15">
        <v>3</v>
      </c>
      <c r="N15" t="s">
        <v>19</v>
      </c>
      <c r="O15">
        <v>2.21</v>
      </c>
      <c r="P15">
        <v>12.5</v>
      </c>
      <c r="Q15">
        <v>8.82</v>
      </c>
      <c r="R15">
        <v>1.8910741301059</v>
      </c>
      <c r="AB15">
        <v>12.5</v>
      </c>
      <c r="AC15">
        <v>6.61</v>
      </c>
    </row>
    <row r="16" spans="1:29" x14ac:dyDescent="0.35">
      <c r="A16">
        <v>2</v>
      </c>
      <c r="B16" t="s">
        <v>18</v>
      </c>
      <c r="C16">
        <v>3.59</v>
      </c>
      <c r="D16">
        <v>12.5</v>
      </c>
      <c r="E16">
        <v>3.68</v>
      </c>
      <c r="F16">
        <v>138.88888888888843</v>
      </c>
      <c r="G16">
        <f t="shared" si="1"/>
        <v>9.0000000000000302E-2</v>
      </c>
      <c r="H16">
        <v>25</v>
      </c>
      <c r="I16">
        <v>3.9299999999999997</v>
      </c>
      <c r="M16">
        <v>3</v>
      </c>
      <c r="N16" t="s">
        <v>19</v>
      </c>
      <c r="O16">
        <v>2.16</v>
      </c>
      <c r="P16">
        <v>12.5</v>
      </c>
      <c r="Q16">
        <v>9.1300000000000008</v>
      </c>
      <c r="R16">
        <v>1.7934002869440457</v>
      </c>
      <c r="AB16">
        <v>12.5</v>
      </c>
      <c r="AC16">
        <v>6.9700000000000006</v>
      </c>
    </row>
    <row r="17" spans="1:29" x14ac:dyDescent="0.35">
      <c r="A17">
        <v>2</v>
      </c>
      <c r="B17" t="s">
        <v>18</v>
      </c>
      <c r="C17">
        <v>3.78</v>
      </c>
      <c r="D17">
        <v>0.125</v>
      </c>
      <c r="E17">
        <v>4.13</v>
      </c>
      <c r="F17">
        <v>0.35714285714285704</v>
      </c>
      <c r="G17">
        <f t="shared" si="1"/>
        <v>0.35000000000000009</v>
      </c>
      <c r="H17">
        <v>3.375</v>
      </c>
      <c r="I17">
        <v>4.59</v>
      </c>
      <c r="M17">
        <v>4</v>
      </c>
      <c r="N17" t="s">
        <v>20</v>
      </c>
      <c r="O17">
        <v>3.77</v>
      </c>
      <c r="P17">
        <v>7.5</v>
      </c>
      <c r="Q17">
        <v>4.18</v>
      </c>
      <c r="R17">
        <v>18.292682926829283</v>
      </c>
      <c r="S17">
        <v>7.5</v>
      </c>
      <c r="T17">
        <v>4.18</v>
      </c>
      <c r="U17" t="e">
        <v>#DIV/0!</v>
      </c>
      <c r="V17">
        <v>12.5</v>
      </c>
      <c r="W17">
        <v>5.74</v>
      </c>
      <c r="X17">
        <v>8.012820512820511</v>
      </c>
      <c r="Y17">
        <v>12.5</v>
      </c>
      <c r="Z17">
        <v>7.05</v>
      </c>
      <c r="AA17">
        <v>9.5419847328244298</v>
      </c>
      <c r="AB17">
        <v>40</v>
      </c>
      <c r="AC17">
        <v>3.28</v>
      </c>
    </row>
    <row r="18" spans="1:29" x14ac:dyDescent="0.35">
      <c r="A18" s="1">
        <v>2</v>
      </c>
      <c r="B18" s="1" t="s">
        <v>18</v>
      </c>
      <c r="C18" s="1">
        <v>4</v>
      </c>
      <c r="D18" s="1">
        <v>0.125</v>
      </c>
      <c r="E18" s="1">
        <v>3.71</v>
      </c>
      <c r="F18" s="1">
        <v>-0.43103448275862066</v>
      </c>
      <c r="G18" s="1">
        <f t="shared" si="1"/>
        <v>-0.29000000000000004</v>
      </c>
      <c r="H18">
        <v>3.5</v>
      </c>
      <c r="I18">
        <v>4.3800000000000008</v>
      </c>
      <c r="M18">
        <v>4</v>
      </c>
      <c r="N18" t="s">
        <v>20</v>
      </c>
      <c r="O18">
        <v>3.79</v>
      </c>
      <c r="P18">
        <v>7.5</v>
      </c>
      <c r="Q18">
        <v>4.0999999999999996</v>
      </c>
      <c r="R18">
        <v>24.193548387096804</v>
      </c>
      <c r="S18">
        <v>7.5</v>
      </c>
      <c r="T18">
        <v>4.68</v>
      </c>
      <c r="U18">
        <v>12.931034482758619</v>
      </c>
      <c r="V18">
        <v>12.5</v>
      </c>
      <c r="W18">
        <v>5.57</v>
      </c>
      <c r="X18">
        <v>14.044943820224709</v>
      </c>
      <c r="Y18">
        <v>12.5</v>
      </c>
      <c r="Z18">
        <v>7.32</v>
      </c>
      <c r="AA18">
        <v>7.1428571428571432</v>
      </c>
      <c r="AB18">
        <v>40</v>
      </c>
      <c r="AC18">
        <v>3.5300000000000002</v>
      </c>
    </row>
    <row r="19" spans="1:29" x14ac:dyDescent="0.35">
      <c r="A19">
        <v>2</v>
      </c>
      <c r="B19" t="s">
        <v>18</v>
      </c>
      <c r="C19">
        <v>4.0199999999999996</v>
      </c>
      <c r="D19">
        <v>6.5</v>
      </c>
      <c r="E19">
        <v>7.03</v>
      </c>
      <c r="F19">
        <f>D19/(E19-C19)</f>
        <v>2.1594684385382057</v>
      </c>
      <c r="G19">
        <f t="shared" si="1"/>
        <v>3.0100000000000007</v>
      </c>
      <c r="M19">
        <v>5</v>
      </c>
      <c r="N19" t="s">
        <v>21</v>
      </c>
      <c r="O19">
        <v>3.72</v>
      </c>
      <c r="P19">
        <v>7.5</v>
      </c>
      <c r="Q19">
        <v>7.35</v>
      </c>
      <c r="R19">
        <v>2.0661157024793391</v>
      </c>
      <c r="AB19">
        <v>7.5</v>
      </c>
      <c r="AC19">
        <v>3.6299999999999994</v>
      </c>
    </row>
    <row r="20" spans="1:29" x14ac:dyDescent="0.35">
      <c r="A20">
        <v>2</v>
      </c>
      <c r="B20" t="s">
        <v>18</v>
      </c>
      <c r="C20">
        <v>3.76</v>
      </c>
      <c r="D20">
        <v>12.5</v>
      </c>
      <c r="E20">
        <v>6.64</v>
      </c>
      <c r="F20">
        <f t="shared" ref="F20:F23" si="2">D20/(E20-C20)</f>
        <v>4.3402777777777777</v>
      </c>
      <c r="G20">
        <f t="shared" si="1"/>
        <v>2.88</v>
      </c>
      <c r="M20">
        <v>5</v>
      </c>
      <c r="N20" t="s">
        <v>21</v>
      </c>
      <c r="O20">
        <v>3.76</v>
      </c>
      <c r="P20">
        <v>7.5</v>
      </c>
      <c r="Q20">
        <v>7.24</v>
      </c>
      <c r="R20">
        <v>2.1551724137931032</v>
      </c>
      <c r="AB20">
        <v>7.5</v>
      </c>
      <c r="AC20">
        <v>3.4800000000000004</v>
      </c>
    </row>
    <row r="21" spans="1:29" x14ac:dyDescent="0.35">
      <c r="A21">
        <v>2</v>
      </c>
      <c r="B21" t="s">
        <v>18</v>
      </c>
      <c r="C21">
        <v>3.68</v>
      </c>
      <c r="D21">
        <v>12.5</v>
      </c>
      <c r="E21">
        <v>7.52</v>
      </c>
      <c r="F21">
        <f t="shared" si="2"/>
        <v>3.2552083333333339</v>
      </c>
      <c r="G21">
        <f t="shared" si="1"/>
        <v>3.8399999999999994</v>
      </c>
      <c r="M21">
        <v>5</v>
      </c>
      <c r="N21" t="s">
        <v>21</v>
      </c>
      <c r="O21">
        <v>3.7</v>
      </c>
      <c r="P21">
        <v>7.5</v>
      </c>
      <c r="Q21">
        <v>7.68</v>
      </c>
      <c r="R21">
        <v>1.8844221105527641</v>
      </c>
      <c r="AB21">
        <v>7.5</v>
      </c>
      <c r="AC21">
        <v>3.9799999999999995</v>
      </c>
    </row>
    <row r="22" spans="1:29" x14ac:dyDescent="0.35">
      <c r="A22">
        <v>2</v>
      </c>
      <c r="B22" t="s">
        <v>18</v>
      </c>
      <c r="C22">
        <v>4.13</v>
      </c>
      <c r="D22">
        <v>0.375</v>
      </c>
      <c r="E22">
        <v>5.98</v>
      </c>
      <c r="F22">
        <f t="shared" si="2"/>
        <v>0.20270270270270263</v>
      </c>
      <c r="G22">
        <f t="shared" si="1"/>
        <v>1.8500000000000005</v>
      </c>
      <c r="M22">
        <v>6</v>
      </c>
      <c r="N22" t="s">
        <v>24</v>
      </c>
      <c r="O22">
        <v>3.2</v>
      </c>
      <c r="P22">
        <v>7.5</v>
      </c>
      <c r="Q22">
        <v>2.67</v>
      </c>
      <c r="R22">
        <v>-14.150943396226408</v>
      </c>
      <c r="S22">
        <v>15.5</v>
      </c>
      <c r="T22">
        <v>6.26</v>
      </c>
      <c r="U22">
        <v>4.3175487465181064</v>
      </c>
      <c r="V22">
        <v>15</v>
      </c>
      <c r="W22" t="s">
        <v>25</v>
      </c>
      <c r="X22">
        <v>16.853932584269653</v>
      </c>
      <c r="AB22">
        <v>38</v>
      </c>
      <c r="AC22">
        <v>3.95</v>
      </c>
    </row>
    <row r="23" spans="1:29" x14ac:dyDescent="0.35">
      <c r="A23">
        <v>2</v>
      </c>
      <c r="B23" t="s">
        <v>18</v>
      </c>
      <c r="C23">
        <v>3.71</v>
      </c>
      <c r="D23">
        <v>0.125</v>
      </c>
      <c r="E23">
        <v>3.88</v>
      </c>
      <c r="F23">
        <f t="shared" si="2"/>
        <v>0.7352941176470591</v>
      </c>
      <c r="G23">
        <f t="shared" si="1"/>
        <v>0.16999999999999993</v>
      </c>
      <c r="M23">
        <v>6</v>
      </c>
      <c r="N23" t="s">
        <v>24</v>
      </c>
      <c r="O23">
        <v>3.26</v>
      </c>
      <c r="P23">
        <v>7.5</v>
      </c>
      <c r="Q23">
        <v>2.95</v>
      </c>
      <c r="R23">
        <v>-24.193548387096804</v>
      </c>
      <c r="S23">
        <v>15.5</v>
      </c>
      <c r="T23">
        <v>6.05</v>
      </c>
      <c r="U23">
        <v>5.0000000000000009</v>
      </c>
      <c r="V23">
        <v>15</v>
      </c>
      <c r="W23" t="s">
        <v>26</v>
      </c>
      <c r="X23">
        <v>13.274336283185843</v>
      </c>
      <c r="AB23">
        <v>38</v>
      </c>
      <c r="AC23">
        <v>3.92</v>
      </c>
    </row>
    <row r="24" spans="1:29" x14ac:dyDescent="0.35">
      <c r="A24">
        <v>3</v>
      </c>
      <c r="B24" t="s">
        <v>19</v>
      </c>
      <c r="C24">
        <v>1.99</v>
      </c>
      <c r="D24">
        <v>2.5</v>
      </c>
      <c r="E24">
        <v>4.13</v>
      </c>
      <c r="F24">
        <v>1.1682242990654208</v>
      </c>
      <c r="G24">
        <f>E24-C24</f>
        <v>2.1399999999999997</v>
      </c>
      <c r="H24">
        <v>7.5</v>
      </c>
      <c r="I24">
        <v>5.75</v>
      </c>
      <c r="M24">
        <v>6</v>
      </c>
      <c r="N24" t="s">
        <v>24</v>
      </c>
      <c r="O24">
        <v>3.17</v>
      </c>
      <c r="P24">
        <v>7.5</v>
      </c>
      <c r="Q24">
        <v>3.04</v>
      </c>
      <c r="R24">
        <v>-57.692307692307743</v>
      </c>
      <c r="S24">
        <v>15.5</v>
      </c>
      <c r="T24">
        <v>5.42</v>
      </c>
      <c r="U24">
        <v>6.5126050420168067</v>
      </c>
      <c r="V24">
        <v>15</v>
      </c>
      <c r="W24" t="s">
        <v>27</v>
      </c>
      <c r="X24">
        <v>8.7209302325581408</v>
      </c>
      <c r="AB24">
        <v>38</v>
      </c>
      <c r="AC24">
        <v>3.9699999999999998</v>
      </c>
    </row>
    <row r="25" spans="1:29" x14ac:dyDescent="0.35">
      <c r="A25">
        <v>3</v>
      </c>
      <c r="B25" t="s">
        <v>19</v>
      </c>
      <c r="C25">
        <v>2.02</v>
      </c>
      <c r="D25">
        <v>2.5</v>
      </c>
      <c r="E25">
        <v>4.05</v>
      </c>
      <c r="F25">
        <v>1.2315270935960592</v>
      </c>
      <c r="G25">
        <f t="shared" ref="G25:G28" si="3">E25-C25</f>
        <v>2.0299999999999998</v>
      </c>
      <c r="H25">
        <v>10</v>
      </c>
      <c r="I25">
        <v>6.75</v>
      </c>
      <c r="M25">
        <v>7</v>
      </c>
      <c r="N25" t="s">
        <v>28</v>
      </c>
      <c r="O25">
        <v>3.36</v>
      </c>
      <c r="P25">
        <v>7.5</v>
      </c>
      <c r="Q25">
        <v>3.14</v>
      </c>
      <c r="R25">
        <v>-34.090909090909129</v>
      </c>
      <c r="S25">
        <v>15.5</v>
      </c>
      <c r="T25">
        <v>7</v>
      </c>
      <c r="U25">
        <v>4.0155440414507773</v>
      </c>
      <c r="AB25">
        <v>23</v>
      </c>
      <c r="AC25">
        <v>3.64</v>
      </c>
    </row>
    <row r="26" spans="1:29" x14ac:dyDescent="0.35">
      <c r="A26">
        <v>3</v>
      </c>
      <c r="B26" t="s">
        <v>19</v>
      </c>
      <c r="C26">
        <v>2.23</v>
      </c>
      <c r="D26">
        <v>12.5</v>
      </c>
      <c r="E26">
        <v>9.75</v>
      </c>
      <c r="F26">
        <v>1.6622340425531916</v>
      </c>
      <c r="G26">
        <f t="shared" si="3"/>
        <v>7.52</v>
      </c>
      <c r="H26">
        <v>12.5</v>
      </c>
      <c r="I26">
        <v>7.52</v>
      </c>
      <c r="M26">
        <v>7</v>
      </c>
      <c r="N26" t="s">
        <v>28</v>
      </c>
      <c r="O26">
        <v>3.36</v>
      </c>
      <c r="P26">
        <v>7.5</v>
      </c>
      <c r="Q26">
        <v>4.5599999999999996</v>
      </c>
      <c r="R26">
        <v>6.2500000000000018</v>
      </c>
      <c r="S26">
        <v>15.5</v>
      </c>
      <c r="T26">
        <v>8.6300000000000008</v>
      </c>
      <c r="U26">
        <v>3.8083538083538073</v>
      </c>
      <c r="AB26">
        <v>23</v>
      </c>
      <c r="AC26">
        <v>5.2700000000000014</v>
      </c>
    </row>
    <row r="27" spans="1:29" x14ac:dyDescent="0.35">
      <c r="A27">
        <v>3</v>
      </c>
      <c r="B27" t="s">
        <v>19</v>
      </c>
      <c r="C27">
        <v>2.21</v>
      </c>
      <c r="D27">
        <v>12.5</v>
      </c>
      <c r="E27">
        <v>8.82</v>
      </c>
      <c r="F27">
        <v>1.8910741301059</v>
      </c>
      <c r="G27">
        <f t="shared" si="3"/>
        <v>6.61</v>
      </c>
      <c r="H27">
        <v>12.5</v>
      </c>
      <c r="I27">
        <v>6.61</v>
      </c>
      <c r="M27">
        <v>7</v>
      </c>
      <c r="N27" t="s">
        <v>28</v>
      </c>
      <c r="O27">
        <v>3.37</v>
      </c>
      <c r="P27">
        <v>7.5</v>
      </c>
      <c r="Q27">
        <v>3.45</v>
      </c>
      <c r="R27">
        <v>93.749999999999915</v>
      </c>
      <c r="S27">
        <v>15.5</v>
      </c>
      <c r="T27">
        <v>8.1300000000000008</v>
      </c>
      <c r="U27">
        <v>3.3119658119658117</v>
      </c>
      <c r="AB27">
        <v>23</v>
      </c>
      <c r="AC27">
        <v>4.7600000000000007</v>
      </c>
    </row>
    <row r="28" spans="1:29" x14ac:dyDescent="0.35">
      <c r="A28">
        <v>3</v>
      </c>
      <c r="B28" t="s">
        <v>19</v>
      </c>
      <c r="C28">
        <v>2.16</v>
      </c>
      <c r="D28">
        <v>12.5</v>
      </c>
      <c r="E28">
        <v>9.1300000000000008</v>
      </c>
      <c r="F28">
        <v>1.7934002869440457</v>
      </c>
      <c r="G28">
        <f t="shared" si="3"/>
        <v>6.9700000000000006</v>
      </c>
      <c r="H28">
        <v>12.5</v>
      </c>
      <c r="I28">
        <v>6.9700000000000006</v>
      </c>
      <c r="M28">
        <v>8</v>
      </c>
      <c r="N28" t="s">
        <v>29</v>
      </c>
      <c r="O28" t="s">
        <v>30</v>
      </c>
      <c r="P28">
        <v>15</v>
      </c>
      <c r="Q28" t="s">
        <v>31</v>
      </c>
      <c r="R28">
        <v>13.888888888888888</v>
      </c>
      <c r="S28">
        <v>25</v>
      </c>
      <c r="T28" t="s">
        <v>32</v>
      </c>
      <c r="U28">
        <v>7.1633237822349578</v>
      </c>
      <c r="AB28">
        <v>40</v>
      </c>
      <c r="AC28">
        <v>4.57</v>
      </c>
    </row>
    <row r="29" spans="1:29" x14ac:dyDescent="0.35">
      <c r="A29">
        <v>3</v>
      </c>
      <c r="B29" t="s">
        <v>19</v>
      </c>
      <c r="C29">
        <v>4.13</v>
      </c>
      <c r="D29">
        <v>5</v>
      </c>
      <c r="E29">
        <v>7.74</v>
      </c>
      <c r="F29">
        <v>1.3850415512465373</v>
      </c>
      <c r="G29">
        <f>E29-C29</f>
        <v>3.6100000000000003</v>
      </c>
      <c r="M29">
        <v>8</v>
      </c>
      <c r="N29" t="s">
        <v>29</v>
      </c>
      <c r="O29" t="s">
        <v>33</v>
      </c>
      <c r="P29">
        <v>15</v>
      </c>
      <c r="Q29" t="s">
        <v>34</v>
      </c>
      <c r="R29">
        <v>15.4639175257732</v>
      </c>
      <c r="S29">
        <v>25</v>
      </c>
      <c r="T29" t="s">
        <v>35</v>
      </c>
      <c r="U29">
        <v>7.7881619937694708</v>
      </c>
      <c r="AB29">
        <v>40</v>
      </c>
      <c r="AC29">
        <v>4.18</v>
      </c>
    </row>
    <row r="30" spans="1:29" x14ac:dyDescent="0.35">
      <c r="A30">
        <v>3</v>
      </c>
      <c r="B30" t="s">
        <v>19</v>
      </c>
      <c r="C30">
        <v>4.05</v>
      </c>
      <c r="D30">
        <v>7.5</v>
      </c>
      <c r="E30">
        <v>8.77</v>
      </c>
      <c r="F30">
        <v>1.5889830508474576</v>
      </c>
      <c r="G30">
        <f>E30-C30</f>
        <v>4.72</v>
      </c>
      <c r="M30">
        <v>8</v>
      </c>
      <c r="N30" t="s">
        <v>29</v>
      </c>
      <c r="O30" t="s">
        <v>36</v>
      </c>
      <c r="P30">
        <v>15</v>
      </c>
      <c r="Q30" t="s">
        <v>37</v>
      </c>
      <c r="R30">
        <v>12.195121951219516</v>
      </c>
      <c r="S30">
        <v>25</v>
      </c>
      <c r="T30" t="s">
        <v>35</v>
      </c>
      <c r="U30">
        <v>8.5910652920962196</v>
      </c>
      <c r="AB30">
        <v>40</v>
      </c>
      <c r="AC30">
        <v>4.1399999999999997</v>
      </c>
    </row>
    <row r="31" spans="1:29" x14ac:dyDescent="0.35">
      <c r="A31">
        <v>4</v>
      </c>
      <c r="B31" t="s">
        <v>20</v>
      </c>
      <c r="C31">
        <v>3.77</v>
      </c>
      <c r="D31">
        <v>7.5</v>
      </c>
      <c r="E31">
        <v>4.18</v>
      </c>
      <c r="F31">
        <v>18.292682926829283</v>
      </c>
      <c r="G31">
        <f>E31-C31</f>
        <v>0.4099999999999997</v>
      </c>
      <c r="H31">
        <v>40</v>
      </c>
      <c r="I31">
        <v>3.28</v>
      </c>
      <c r="M31">
        <v>9</v>
      </c>
      <c r="N31" t="s">
        <v>38</v>
      </c>
      <c r="O31">
        <v>3.07</v>
      </c>
      <c r="P31">
        <v>15</v>
      </c>
      <c r="Q31">
        <v>5.88</v>
      </c>
      <c r="R31">
        <v>5.3380782918149468</v>
      </c>
      <c r="S31">
        <v>5</v>
      </c>
      <c r="T31" t="s">
        <v>39</v>
      </c>
      <c r="U31">
        <v>2.3923444976076556</v>
      </c>
      <c r="AB31">
        <v>20</v>
      </c>
      <c r="AC31">
        <v>3.88</v>
      </c>
    </row>
    <row r="32" spans="1:29" x14ac:dyDescent="0.35">
      <c r="A32">
        <v>4</v>
      </c>
      <c r="B32" t="s">
        <v>20</v>
      </c>
      <c r="C32">
        <v>3.79</v>
      </c>
      <c r="D32">
        <v>7.5</v>
      </c>
      <c r="E32">
        <v>4.0999999999999996</v>
      </c>
      <c r="F32">
        <v>24.193548387096804</v>
      </c>
      <c r="G32">
        <f t="shared" ref="G32:G93" si="4">E32-C32</f>
        <v>0.30999999999999961</v>
      </c>
      <c r="H32">
        <v>40</v>
      </c>
      <c r="I32">
        <v>3.5300000000000002</v>
      </c>
      <c r="M32">
        <v>9</v>
      </c>
      <c r="N32" t="s">
        <v>38</v>
      </c>
      <c r="O32">
        <v>3.12</v>
      </c>
      <c r="P32">
        <v>15</v>
      </c>
      <c r="Q32" t="s">
        <v>40</v>
      </c>
      <c r="R32">
        <v>5.3380782918149476</v>
      </c>
      <c r="S32">
        <v>5</v>
      </c>
      <c r="T32" t="s">
        <v>41</v>
      </c>
      <c r="U32">
        <v>4.6728971962616814</v>
      </c>
      <c r="AB32">
        <v>20</v>
      </c>
      <c r="AC32">
        <v>3.88</v>
      </c>
    </row>
    <row r="33" spans="1:29" x14ac:dyDescent="0.35">
      <c r="A33" s="1">
        <v>4</v>
      </c>
      <c r="B33" s="1" t="s">
        <v>20</v>
      </c>
      <c r="C33" s="1">
        <v>4.18</v>
      </c>
      <c r="D33" s="1">
        <v>7.5</v>
      </c>
      <c r="E33" s="1">
        <v>4.18</v>
      </c>
      <c r="F33" s="1" t="e">
        <v>#DIV/0!</v>
      </c>
      <c r="G33" s="1">
        <f t="shared" si="4"/>
        <v>0</v>
      </c>
      <c r="M33">
        <v>9</v>
      </c>
      <c r="N33" t="s">
        <v>38</v>
      </c>
      <c r="O33">
        <v>3.13</v>
      </c>
      <c r="P33">
        <v>15</v>
      </c>
      <c r="Q33" t="s">
        <v>42</v>
      </c>
      <c r="R33">
        <v>4.8387096774193541</v>
      </c>
      <c r="S33">
        <v>5</v>
      </c>
      <c r="T33" t="s">
        <v>35</v>
      </c>
      <c r="U33">
        <v>6.4102564102564159</v>
      </c>
      <c r="AB33">
        <v>20</v>
      </c>
      <c r="AC33">
        <v>3.88</v>
      </c>
    </row>
    <row r="34" spans="1:29" x14ac:dyDescent="0.35">
      <c r="A34">
        <v>4</v>
      </c>
      <c r="B34" t="s">
        <v>20</v>
      </c>
      <c r="C34">
        <v>4.0999999999999996</v>
      </c>
      <c r="D34">
        <v>7.5</v>
      </c>
      <c r="E34">
        <v>4.68</v>
      </c>
      <c r="F34">
        <v>12.931034482758619</v>
      </c>
      <c r="G34">
        <f t="shared" si="4"/>
        <v>0.58000000000000007</v>
      </c>
      <c r="M34">
        <v>10</v>
      </c>
      <c r="N34" t="s">
        <v>43</v>
      </c>
      <c r="O34">
        <v>3.01</v>
      </c>
      <c r="P34">
        <v>15</v>
      </c>
      <c r="Q34">
        <v>3.54</v>
      </c>
      <c r="R34">
        <v>28.301886792452816</v>
      </c>
      <c r="S34">
        <v>25</v>
      </c>
      <c r="T34">
        <v>8.99</v>
      </c>
      <c r="U34">
        <v>4.5871559633027523</v>
      </c>
      <c r="AB34">
        <v>40</v>
      </c>
      <c r="AC34">
        <v>5.98</v>
      </c>
    </row>
    <row r="35" spans="1:29" x14ac:dyDescent="0.35">
      <c r="A35">
        <v>4</v>
      </c>
      <c r="B35" t="s">
        <v>20</v>
      </c>
      <c r="C35">
        <v>4.18</v>
      </c>
      <c r="D35">
        <v>12.5</v>
      </c>
      <c r="E35">
        <v>5.74</v>
      </c>
      <c r="F35">
        <v>8.012820512820511</v>
      </c>
      <c r="G35">
        <f t="shared" si="4"/>
        <v>1.5600000000000005</v>
      </c>
      <c r="M35">
        <v>10</v>
      </c>
      <c r="N35" t="s">
        <v>43</v>
      </c>
      <c r="O35">
        <v>2.98</v>
      </c>
      <c r="P35">
        <v>15</v>
      </c>
      <c r="Q35">
        <v>3.57</v>
      </c>
      <c r="R35">
        <v>25.423728813559329</v>
      </c>
      <c r="S35">
        <v>25</v>
      </c>
      <c r="T35">
        <v>9.56</v>
      </c>
      <c r="U35">
        <v>4.1736227045075127</v>
      </c>
      <c r="AB35">
        <v>40</v>
      </c>
      <c r="AC35">
        <v>6.58</v>
      </c>
    </row>
    <row r="36" spans="1:29" x14ac:dyDescent="0.35">
      <c r="A36">
        <v>4</v>
      </c>
      <c r="B36" t="s">
        <v>20</v>
      </c>
      <c r="C36">
        <v>4.68</v>
      </c>
      <c r="D36">
        <v>12.5</v>
      </c>
      <c r="E36">
        <v>5.57</v>
      </c>
      <c r="F36">
        <v>14.044943820224709</v>
      </c>
      <c r="G36">
        <f t="shared" si="4"/>
        <v>0.89000000000000057</v>
      </c>
      <c r="M36">
        <v>10</v>
      </c>
      <c r="N36" t="s">
        <v>43</v>
      </c>
      <c r="O36">
        <v>2.66</v>
      </c>
      <c r="P36">
        <v>15</v>
      </c>
      <c r="Q36">
        <v>3.64</v>
      </c>
      <c r="R36">
        <v>15.306122448979592</v>
      </c>
      <c r="S36">
        <v>25</v>
      </c>
      <c r="T36">
        <v>9.14</v>
      </c>
      <c r="U36">
        <v>4.5454545454545459</v>
      </c>
      <c r="AB36">
        <v>40</v>
      </c>
      <c r="AC36">
        <v>6.48</v>
      </c>
    </row>
    <row r="37" spans="1:29" x14ac:dyDescent="0.35">
      <c r="A37">
        <v>4</v>
      </c>
      <c r="B37" t="s">
        <v>20</v>
      </c>
      <c r="C37">
        <v>5.74</v>
      </c>
      <c r="D37">
        <v>12.5</v>
      </c>
      <c r="E37">
        <v>7.05</v>
      </c>
      <c r="F37">
        <v>9.5419847328244298</v>
      </c>
      <c r="G37">
        <f t="shared" si="4"/>
        <v>1.3099999999999996</v>
      </c>
      <c r="M37">
        <v>11</v>
      </c>
      <c r="N37" t="s">
        <v>44</v>
      </c>
      <c r="O37">
        <v>3.69</v>
      </c>
      <c r="P37">
        <v>15</v>
      </c>
      <c r="Q37">
        <v>9.8000000000000007</v>
      </c>
      <c r="R37">
        <v>2.4549918166939437</v>
      </c>
      <c r="AB37">
        <v>15</v>
      </c>
      <c r="AC37">
        <v>6.1100000000000012</v>
      </c>
    </row>
    <row r="38" spans="1:29" x14ac:dyDescent="0.35">
      <c r="A38">
        <v>4</v>
      </c>
      <c r="B38" t="s">
        <v>20</v>
      </c>
      <c r="C38">
        <v>5.57</v>
      </c>
      <c r="D38">
        <v>12.5</v>
      </c>
      <c r="E38">
        <v>7.32</v>
      </c>
      <c r="F38">
        <v>7.1428571428571432</v>
      </c>
      <c r="G38">
        <f t="shared" si="4"/>
        <v>1.75</v>
      </c>
      <c r="M38">
        <v>11</v>
      </c>
      <c r="N38" t="s">
        <v>44</v>
      </c>
      <c r="O38">
        <v>3.58</v>
      </c>
      <c r="P38">
        <v>15</v>
      </c>
      <c r="Q38">
        <v>9.6999999999999993</v>
      </c>
      <c r="R38">
        <v>2.4509803921568629</v>
      </c>
      <c r="AB38">
        <v>15</v>
      </c>
      <c r="AC38">
        <v>6.1199999999999992</v>
      </c>
    </row>
    <row r="39" spans="1:29" x14ac:dyDescent="0.35">
      <c r="A39">
        <v>5</v>
      </c>
      <c r="B39" t="s">
        <v>21</v>
      </c>
      <c r="C39">
        <v>3.72</v>
      </c>
      <c r="D39">
        <v>7.5</v>
      </c>
      <c r="E39">
        <v>7.35</v>
      </c>
      <c r="F39">
        <v>2.0661157024793391</v>
      </c>
      <c r="G39">
        <f t="shared" si="4"/>
        <v>3.6299999999999994</v>
      </c>
      <c r="H39">
        <v>7.5</v>
      </c>
      <c r="I39">
        <v>3.6299999999999994</v>
      </c>
      <c r="M39">
        <v>11</v>
      </c>
      <c r="N39" t="s">
        <v>44</v>
      </c>
      <c r="O39">
        <v>3.23</v>
      </c>
      <c r="P39">
        <v>15</v>
      </c>
      <c r="Q39">
        <v>9.3000000000000007</v>
      </c>
      <c r="R39">
        <v>2.4711696869851729</v>
      </c>
      <c r="AB39">
        <v>15</v>
      </c>
      <c r="AC39">
        <v>6.07</v>
      </c>
    </row>
    <row r="40" spans="1:29" x14ac:dyDescent="0.35">
      <c r="A40">
        <v>5</v>
      </c>
      <c r="B40" t="s">
        <v>21</v>
      </c>
      <c r="C40">
        <v>3.76</v>
      </c>
      <c r="D40">
        <v>7.5</v>
      </c>
      <c r="E40">
        <v>7.24</v>
      </c>
      <c r="F40">
        <v>2.1551724137931032</v>
      </c>
      <c r="G40">
        <f t="shared" si="4"/>
        <v>3.4800000000000004</v>
      </c>
      <c r="H40">
        <v>7.5</v>
      </c>
      <c r="I40">
        <v>3.4800000000000004</v>
      </c>
      <c r="M40">
        <v>12</v>
      </c>
      <c r="N40" t="s">
        <v>45</v>
      </c>
      <c r="O40">
        <v>3.45</v>
      </c>
      <c r="P40">
        <v>25</v>
      </c>
      <c r="Q40">
        <v>6.39</v>
      </c>
      <c r="R40">
        <v>8.5034013605442187</v>
      </c>
      <c r="S40">
        <v>15</v>
      </c>
      <c r="T40">
        <v>6.72</v>
      </c>
      <c r="U40">
        <v>45.454545454545446</v>
      </c>
      <c r="V40">
        <v>15</v>
      </c>
      <c r="W40">
        <v>7.58</v>
      </c>
      <c r="X40">
        <v>17.441860465116271</v>
      </c>
      <c r="AB40">
        <v>55</v>
      </c>
      <c r="AC40">
        <v>4.13</v>
      </c>
    </row>
    <row r="41" spans="1:29" x14ac:dyDescent="0.35">
      <c r="A41">
        <v>5</v>
      </c>
      <c r="B41" t="s">
        <v>21</v>
      </c>
      <c r="C41">
        <v>3.7</v>
      </c>
      <c r="D41">
        <v>7.5</v>
      </c>
      <c r="E41">
        <v>7.68</v>
      </c>
      <c r="F41">
        <v>1.8844221105527641</v>
      </c>
      <c r="G41">
        <f t="shared" si="4"/>
        <v>3.9799999999999995</v>
      </c>
      <c r="H41">
        <v>7.5</v>
      </c>
      <c r="I41">
        <v>3.9799999999999995</v>
      </c>
      <c r="M41">
        <v>12</v>
      </c>
      <c r="N41" t="s">
        <v>45</v>
      </c>
      <c r="O41">
        <v>3.3</v>
      </c>
      <c r="P41">
        <v>25</v>
      </c>
      <c r="Q41">
        <v>6.44</v>
      </c>
      <c r="R41">
        <v>7.9617834394904445</v>
      </c>
      <c r="S41">
        <v>15</v>
      </c>
      <c r="T41">
        <v>6.66</v>
      </c>
      <c r="U41">
        <v>68.181818181818258</v>
      </c>
      <c r="V41">
        <v>15</v>
      </c>
      <c r="W41">
        <v>7.51</v>
      </c>
      <c r="X41">
        <v>17.64705882352942</v>
      </c>
      <c r="AB41">
        <v>55</v>
      </c>
      <c r="AC41">
        <v>4.21</v>
      </c>
    </row>
    <row r="42" spans="1:29" x14ac:dyDescent="0.35">
      <c r="A42" s="1">
        <v>6</v>
      </c>
      <c r="B42" s="1" t="s">
        <v>24</v>
      </c>
      <c r="C42" s="1">
        <v>3.2</v>
      </c>
      <c r="D42" s="1">
        <v>7.5</v>
      </c>
      <c r="E42" s="1">
        <v>2.67</v>
      </c>
      <c r="F42" s="1">
        <v>-14.150943396226408</v>
      </c>
      <c r="G42">
        <f t="shared" si="4"/>
        <v>-0.53000000000000025</v>
      </c>
      <c r="H42">
        <v>38</v>
      </c>
      <c r="I42">
        <v>3.95</v>
      </c>
      <c r="M42">
        <v>12</v>
      </c>
      <c r="N42" t="s">
        <v>45</v>
      </c>
      <c r="O42">
        <v>3.27</v>
      </c>
      <c r="P42">
        <v>25</v>
      </c>
      <c r="Q42">
        <v>6.58</v>
      </c>
      <c r="R42">
        <v>7.5528700906344408</v>
      </c>
      <c r="S42">
        <v>15</v>
      </c>
      <c r="T42">
        <v>6.66</v>
      </c>
      <c r="U42">
        <v>187.49999999999983</v>
      </c>
      <c r="V42">
        <v>15</v>
      </c>
      <c r="W42">
        <v>7.51</v>
      </c>
      <c r="X42">
        <v>17.64705882352942</v>
      </c>
      <c r="AB42">
        <v>55</v>
      </c>
      <c r="AC42">
        <v>4.24</v>
      </c>
    </row>
    <row r="43" spans="1:29" x14ac:dyDescent="0.35">
      <c r="A43" s="1">
        <v>6</v>
      </c>
      <c r="B43" s="1" t="s">
        <v>24</v>
      </c>
      <c r="C43" s="1">
        <v>3.26</v>
      </c>
      <c r="D43" s="1">
        <v>7.5</v>
      </c>
      <c r="E43" s="1">
        <v>2.95</v>
      </c>
      <c r="F43" s="1">
        <v>-24.193548387096804</v>
      </c>
      <c r="G43">
        <f t="shared" si="4"/>
        <v>-0.30999999999999961</v>
      </c>
      <c r="H43">
        <v>38</v>
      </c>
      <c r="I43">
        <v>3.92</v>
      </c>
      <c r="M43">
        <v>13</v>
      </c>
      <c r="N43" t="s">
        <v>46</v>
      </c>
      <c r="O43">
        <v>2.98</v>
      </c>
      <c r="P43">
        <v>25</v>
      </c>
      <c r="Q43">
        <v>6.13</v>
      </c>
      <c r="R43">
        <v>7.9365079365079367</v>
      </c>
      <c r="S43">
        <v>15</v>
      </c>
      <c r="T43">
        <v>6.47</v>
      </c>
      <c r="U43">
        <v>44.11764705882355</v>
      </c>
      <c r="V43">
        <v>7.5</v>
      </c>
      <c r="W43">
        <v>7.31</v>
      </c>
      <c r="X43">
        <v>8.9285714285714306</v>
      </c>
      <c r="AB43">
        <v>47.5</v>
      </c>
      <c r="AC43">
        <v>4.33</v>
      </c>
    </row>
    <row r="44" spans="1:29" x14ac:dyDescent="0.35">
      <c r="A44" s="1">
        <v>6</v>
      </c>
      <c r="B44" s="1" t="s">
        <v>24</v>
      </c>
      <c r="C44" s="1">
        <v>3.17</v>
      </c>
      <c r="D44" s="1">
        <v>7.5</v>
      </c>
      <c r="E44" s="1">
        <v>3.04</v>
      </c>
      <c r="F44" s="1">
        <v>-57.692307692307743</v>
      </c>
      <c r="G44">
        <f t="shared" si="4"/>
        <v>-0.12999999999999989</v>
      </c>
      <c r="H44">
        <v>38</v>
      </c>
      <c r="I44">
        <v>3.9699999999999998</v>
      </c>
      <c r="M44">
        <v>13</v>
      </c>
      <c r="N44" t="s">
        <v>46</v>
      </c>
      <c r="O44">
        <v>3.17</v>
      </c>
      <c r="P44">
        <v>25</v>
      </c>
      <c r="Q44">
        <v>5.74</v>
      </c>
      <c r="R44">
        <v>9.7276264591439681</v>
      </c>
      <c r="S44">
        <v>15</v>
      </c>
      <c r="T44">
        <v>6.45</v>
      </c>
      <c r="U44">
        <v>21.126760563380284</v>
      </c>
      <c r="V44">
        <v>7.5</v>
      </c>
      <c r="W44">
        <v>7.93</v>
      </c>
      <c r="X44">
        <v>5.0675675675675693</v>
      </c>
      <c r="AB44">
        <v>47.5</v>
      </c>
      <c r="AC44">
        <v>4.76</v>
      </c>
    </row>
    <row r="45" spans="1:29" x14ac:dyDescent="0.35">
      <c r="A45">
        <v>6</v>
      </c>
      <c r="B45" t="s">
        <v>24</v>
      </c>
      <c r="C45">
        <v>2.67</v>
      </c>
      <c r="D45">
        <v>15.5</v>
      </c>
      <c r="E45">
        <v>6.26</v>
      </c>
      <c r="F45">
        <v>4.3175487465181064</v>
      </c>
      <c r="G45">
        <f t="shared" si="4"/>
        <v>3.59</v>
      </c>
      <c r="M45">
        <v>13</v>
      </c>
      <c r="N45" t="s">
        <v>46</v>
      </c>
      <c r="O45">
        <v>3.33</v>
      </c>
      <c r="P45">
        <v>25</v>
      </c>
      <c r="Q45">
        <v>7.3</v>
      </c>
      <c r="R45">
        <v>6.2972292191435768</v>
      </c>
      <c r="AB45">
        <v>25</v>
      </c>
      <c r="AC45">
        <v>3.9699999999999998</v>
      </c>
    </row>
    <row r="46" spans="1:29" x14ac:dyDescent="0.35">
      <c r="A46">
        <v>6</v>
      </c>
      <c r="B46" t="s">
        <v>24</v>
      </c>
      <c r="C46">
        <v>2.95</v>
      </c>
      <c r="D46">
        <v>15.5</v>
      </c>
      <c r="E46">
        <v>6.05</v>
      </c>
      <c r="F46">
        <v>5.0000000000000009</v>
      </c>
      <c r="G46">
        <f t="shared" si="4"/>
        <v>3.0999999999999996</v>
      </c>
    </row>
    <row r="47" spans="1:29" x14ac:dyDescent="0.35">
      <c r="A47">
        <v>6</v>
      </c>
      <c r="B47" t="s">
        <v>24</v>
      </c>
      <c r="C47">
        <v>3.04</v>
      </c>
      <c r="D47">
        <v>15.5</v>
      </c>
      <c r="E47">
        <v>5.42</v>
      </c>
      <c r="F47">
        <v>6.5126050420168067</v>
      </c>
      <c r="G47">
        <f t="shared" si="4"/>
        <v>2.38</v>
      </c>
    </row>
    <row r="48" spans="1:29" x14ac:dyDescent="0.35">
      <c r="A48">
        <v>6</v>
      </c>
      <c r="B48" t="s">
        <v>24</v>
      </c>
      <c r="C48">
        <v>6.26</v>
      </c>
      <c r="D48">
        <v>15</v>
      </c>
      <c r="E48" t="s">
        <v>25</v>
      </c>
      <c r="F48">
        <v>16.853932584269653</v>
      </c>
      <c r="G48">
        <f t="shared" si="4"/>
        <v>0.89000000000000057</v>
      </c>
    </row>
    <row r="49" spans="1:9" x14ac:dyDescent="0.35">
      <c r="A49">
        <v>6</v>
      </c>
      <c r="B49" t="s">
        <v>24</v>
      </c>
      <c r="C49">
        <v>6.05</v>
      </c>
      <c r="D49">
        <v>15</v>
      </c>
      <c r="E49" t="s">
        <v>26</v>
      </c>
      <c r="F49">
        <v>13.274336283185843</v>
      </c>
      <c r="G49">
        <f t="shared" si="4"/>
        <v>1.1299999999999999</v>
      </c>
    </row>
    <row r="50" spans="1:9" x14ac:dyDescent="0.35">
      <c r="A50">
        <v>6</v>
      </c>
      <c r="B50" t="s">
        <v>24</v>
      </c>
      <c r="C50">
        <v>5.42</v>
      </c>
      <c r="D50">
        <v>15</v>
      </c>
      <c r="E50" t="s">
        <v>27</v>
      </c>
      <c r="F50">
        <v>8.7209302325581408</v>
      </c>
      <c r="G50">
        <f t="shared" si="4"/>
        <v>1.7199999999999998</v>
      </c>
    </row>
    <row r="51" spans="1:9" x14ac:dyDescent="0.35">
      <c r="A51" s="1">
        <v>7</v>
      </c>
      <c r="B51" s="1" t="s">
        <v>28</v>
      </c>
      <c r="C51" s="1">
        <v>3.36</v>
      </c>
      <c r="D51" s="1">
        <v>7.5</v>
      </c>
      <c r="E51" s="1">
        <v>3.14</v>
      </c>
      <c r="F51" s="1">
        <v>-34.090909090909129</v>
      </c>
      <c r="G51">
        <f t="shared" si="4"/>
        <v>-0.21999999999999975</v>
      </c>
      <c r="H51">
        <v>23</v>
      </c>
      <c r="I51">
        <v>3.64</v>
      </c>
    </row>
    <row r="52" spans="1:9" x14ac:dyDescent="0.35">
      <c r="A52">
        <v>7</v>
      </c>
      <c r="B52" t="s">
        <v>28</v>
      </c>
      <c r="C52">
        <v>3.36</v>
      </c>
      <c r="D52">
        <v>7.5</v>
      </c>
      <c r="E52">
        <v>4.5599999999999996</v>
      </c>
      <c r="F52">
        <v>6.2500000000000018</v>
      </c>
      <c r="G52">
        <f t="shared" si="4"/>
        <v>1.1999999999999997</v>
      </c>
      <c r="H52">
        <v>23</v>
      </c>
      <c r="I52">
        <v>5.2700000000000014</v>
      </c>
    </row>
    <row r="53" spans="1:9" x14ac:dyDescent="0.35">
      <c r="A53">
        <v>7</v>
      </c>
      <c r="B53" t="s">
        <v>28</v>
      </c>
      <c r="C53">
        <v>3.37</v>
      </c>
      <c r="D53">
        <v>7.5</v>
      </c>
      <c r="E53">
        <v>3.45</v>
      </c>
      <c r="F53">
        <f>D53/(E53-C53)</f>
        <v>93.749999999999915</v>
      </c>
      <c r="G53">
        <f t="shared" si="4"/>
        <v>8.0000000000000071E-2</v>
      </c>
      <c r="H53">
        <v>23</v>
      </c>
      <c r="I53">
        <v>4.7600000000000007</v>
      </c>
    </row>
    <row r="54" spans="1:9" x14ac:dyDescent="0.35">
      <c r="A54">
        <v>7</v>
      </c>
      <c r="B54" t="s">
        <v>28</v>
      </c>
      <c r="C54">
        <v>3.14</v>
      </c>
      <c r="D54">
        <v>25</v>
      </c>
      <c r="E54" t="s">
        <v>32</v>
      </c>
      <c r="F54">
        <v>7.1633237822349578</v>
      </c>
      <c r="G54">
        <f t="shared" si="4"/>
        <v>3.9599999999999995</v>
      </c>
    </row>
    <row r="55" spans="1:9" x14ac:dyDescent="0.35">
      <c r="A55">
        <v>7</v>
      </c>
      <c r="B55" t="s">
        <v>28</v>
      </c>
      <c r="C55">
        <v>4.5599999999999996</v>
      </c>
      <c r="D55">
        <v>25</v>
      </c>
      <c r="E55" t="s">
        <v>35</v>
      </c>
      <c r="F55">
        <v>7.7881619937694708</v>
      </c>
      <c r="G55">
        <f t="shared" si="4"/>
        <v>2.4500000000000002</v>
      </c>
    </row>
    <row r="56" spans="1:9" x14ac:dyDescent="0.35">
      <c r="A56">
        <v>7</v>
      </c>
      <c r="B56" t="s">
        <v>28</v>
      </c>
      <c r="C56">
        <v>3.45</v>
      </c>
      <c r="D56">
        <v>25</v>
      </c>
      <c r="E56" t="s">
        <v>35</v>
      </c>
      <c r="F56">
        <v>8.5910652920962196</v>
      </c>
      <c r="G56">
        <f t="shared" si="4"/>
        <v>3.5599999999999996</v>
      </c>
    </row>
    <row r="57" spans="1:9" x14ac:dyDescent="0.35">
      <c r="A57">
        <v>8</v>
      </c>
      <c r="B57" t="s">
        <v>29</v>
      </c>
      <c r="C57" t="s">
        <v>30</v>
      </c>
      <c r="D57">
        <v>15</v>
      </c>
      <c r="E57" t="s">
        <v>31</v>
      </c>
      <c r="F57">
        <v>13.888888888888888</v>
      </c>
      <c r="G57">
        <f t="shared" si="4"/>
        <v>1.08</v>
      </c>
      <c r="H57">
        <v>40</v>
      </c>
      <c r="I57">
        <v>4.57</v>
      </c>
    </row>
    <row r="58" spans="1:9" x14ac:dyDescent="0.35">
      <c r="A58">
        <v>8</v>
      </c>
      <c r="B58" t="s">
        <v>29</v>
      </c>
      <c r="C58" t="s">
        <v>33</v>
      </c>
      <c r="D58">
        <v>15</v>
      </c>
      <c r="E58" t="s">
        <v>34</v>
      </c>
      <c r="F58">
        <v>15.4639175257732</v>
      </c>
      <c r="G58">
        <f t="shared" si="4"/>
        <v>0.96999999999999975</v>
      </c>
      <c r="H58">
        <v>40</v>
      </c>
      <c r="I58">
        <v>4.18</v>
      </c>
    </row>
    <row r="59" spans="1:9" x14ac:dyDescent="0.35">
      <c r="A59">
        <v>8</v>
      </c>
      <c r="B59" t="s">
        <v>29</v>
      </c>
      <c r="C59" t="s">
        <v>36</v>
      </c>
      <c r="D59">
        <v>15</v>
      </c>
      <c r="E59" t="s">
        <v>37</v>
      </c>
      <c r="F59">
        <v>12.195121951219516</v>
      </c>
      <c r="G59">
        <f t="shared" si="4"/>
        <v>1.2299999999999995</v>
      </c>
      <c r="H59">
        <v>40</v>
      </c>
      <c r="I59">
        <v>4.1399999999999997</v>
      </c>
    </row>
    <row r="60" spans="1:9" x14ac:dyDescent="0.35">
      <c r="A60">
        <v>8</v>
      </c>
      <c r="B60" t="s">
        <v>29</v>
      </c>
      <c r="C60" t="s">
        <v>31</v>
      </c>
      <c r="D60">
        <v>25</v>
      </c>
      <c r="E60" t="s">
        <v>32</v>
      </c>
      <c r="F60">
        <v>7.1633237822349578</v>
      </c>
      <c r="G60">
        <f t="shared" si="4"/>
        <v>3.4899999999999998</v>
      </c>
    </row>
    <row r="61" spans="1:9" x14ac:dyDescent="0.35">
      <c r="A61">
        <v>8</v>
      </c>
      <c r="B61" t="s">
        <v>29</v>
      </c>
      <c r="C61" t="s">
        <v>34</v>
      </c>
      <c r="D61">
        <v>25</v>
      </c>
      <c r="E61" t="s">
        <v>35</v>
      </c>
      <c r="F61">
        <v>7.7881619937694708</v>
      </c>
      <c r="G61">
        <f t="shared" si="4"/>
        <v>3.21</v>
      </c>
    </row>
    <row r="62" spans="1:9" x14ac:dyDescent="0.35">
      <c r="A62">
        <v>8</v>
      </c>
      <c r="B62" t="s">
        <v>29</v>
      </c>
      <c r="C62" t="s">
        <v>37</v>
      </c>
      <c r="D62">
        <v>25</v>
      </c>
      <c r="E62" t="s">
        <v>35</v>
      </c>
      <c r="F62">
        <v>8.5910652920962196</v>
      </c>
      <c r="G62">
        <f t="shared" si="4"/>
        <v>2.91</v>
      </c>
    </row>
    <row r="63" spans="1:9" x14ac:dyDescent="0.35">
      <c r="A63">
        <v>9</v>
      </c>
      <c r="B63" t="s">
        <v>38</v>
      </c>
      <c r="C63">
        <v>3.07</v>
      </c>
      <c r="D63">
        <v>15</v>
      </c>
      <c r="E63">
        <v>5.88</v>
      </c>
      <c r="F63">
        <v>5.3380782918149468</v>
      </c>
      <c r="G63">
        <f t="shared" si="4"/>
        <v>2.81</v>
      </c>
      <c r="H63">
        <v>20</v>
      </c>
      <c r="I63">
        <v>3.88</v>
      </c>
    </row>
    <row r="64" spans="1:9" x14ac:dyDescent="0.35">
      <c r="A64">
        <v>9</v>
      </c>
      <c r="B64" t="s">
        <v>38</v>
      </c>
      <c r="C64">
        <v>3.12</v>
      </c>
      <c r="D64">
        <v>15</v>
      </c>
      <c r="E64" t="s">
        <v>40</v>
      </c>
      <c r="F64">
        <v>5.3380782918149476</v>
      </c>
      <c r="G64">
        <f t="shared" si="4"/>
        <v>2.8099999999999996</v>
      </c>
      <c r="H64">
        <v>20</v>
      </c>
      <c r="I64">
        <v>3.88</v>
      </c>
    </row>
    <row r="65" spans="1:9" x14ac:dyDescent="0.35">
      <c r="A65">
        <v>9</v>
      </c>
      <c r="B65" t="s">
        <v>38</v>
      </c>
      <c r="C65">
        <v>3.13</v>
      </c>
      <c r="D65">
        <v>15</v>
      </c>
      <c r="E65" t="s">
        <v>42</v>
      </c>
      <c r="F65">
        <v>4.8387096774193541</v>
      </c>
      <c r="G65">
        <f t="shared" si="4"/>
        <v>3.1000000000000005</v>
      </c>
      <c r="H65">
        <v>20</v>
      </c>
      <c r="I65">
        <v>3.88</v>
      </c>
    </row>
    <row r="66" spans="1:9" x14ac:dyDescent="0.35">
      <c r="A66">
        <v>9</v>
      </c>
      <c r="B66" t="s">
        <v>38</v>
      </c>
      <c r="C66">
        <v>5.88</v>
      </c>
      <c r="D66">
        <v>5</v>
      </c>
      <c r="E66" t="s">
        <v>39</v>
      </c>
      <c r="F66">
        <v>2.3923444976076556</v>
      </c>
      <c r="G66">
        <f t="shared" si="4"/>
        <v>2.09</v>
      </c>
    </row>
    <row r="67" spans="1:9" x14ac:dyDescent="0.35">
      <c r="A67">
        <v>9</v>
      </c>
      <c r="B67" t="s">
        <v>38</v>
      </c>
      <c r="C67" t="s">
        <v>40</v>
      </c>
      <c r="D67">
        <v>5</v>
      </c>
      <c r="E67" t="s">
        <v>41</v>
      </c>
      <c r="F67">
        <v>4.6728971962616814</v>
      </c>
      <c r="G67">
        <f t="shared" si="4"/>
        <v>1.0700000000000003</v>
      </c>
    </row>
    <row r="68" spans="1:9" x14ac:dyDescent="0.35">
      <c r="A68">
        <v>9</v>
      </c>
      <c r="B68" t="s">
        <v>38</v>
      </c>
      <c r="C68" t="s">
        <v>42</v>
      </c>
      <c r="D68">
        <v>5</v>
      </c>
      <c r="E68" t="s">
        <v>35</v>
      </c>
      <c r="F68">
        <v>6.4102564102564159</v>
      </c>
      <c r="G68">
        <f t="shared" si="4"/>
        <v>0.77999999999999936</v>
      </c>
    </row>
    <row r="69" spans="1:9" x14ac:dyDescent="0.35">
      <c r="A69">
        <v>10</v>
      </c>
      <c r="B69" t="s">
        <v>43</v>
      </c>
      <c r="C69">
        <v>3.01</v>
      </c>
      <c r="D69">
        <v>15</v>
      </c>
      <c r="E69">
        <v>3.54</v>
      </c>
      <c r="F69">
        <v>28.301886792452816</v>
      </c>
      <c r="G69">
        <f t="shared" si="4"/>
        <v>0.53000000000000025</v>
      </c>
      <c r="H69">
        <v>40</v>
      </c>
      <c r="I69">
        <v>5.98</v>
      </c>
    </row>
    <row r="70" spans="1:9" x14ac:dyDescent="0.35">
      <c r="A70">
        <v>10</v>
      </c>
      <c r="B70" t="s">
        <v>43</v>
      </c>
      <c r="C70">
        <v>2.98</v>
      </c>
      <c r="D70">
        <v>15</v>
      </c>
      <c r="E70">
        <v>3.57</v>
      </c>
      <c r="F70">
        <v>25.423728813559329</v>
      </c>
      <c r="G70">
        <f t="shared" si="4"/>
        <v>0.58999999999999986</v>
      </c>
      <c r="H70">
        <v>40</v>
      </c>
      <c r="I70">
        <v>6.58</v>
      </c>
    </row>
    <row r="71" spans="1:9" x14ac:dyDescent="0.35">
      <c r="A71">
        <v>10</v>
      </c>
      <c r="B71" t="s">
        <v>43</v>
      </c>
      <c r="C71">
        <v>2.66</v>
      </c>
      <c r="D71">
        <v>15</v>
      </c>
      <c r="E71">
        <v>3.64</v>
      </c>
      <c r="F71">
        <v>15.306122448979592</v>
      </c>
      <c r="G71">
        <f t="shared" si="4"/>
        <v>0.98</v>
      </c>
      <c r="H71">
        <v>40</v>
      </c>
      <c r="I71">
        <v>6.48</v>
      </c>
    </row>
    <row r="72" spans="1:9" x14ac:dyDescent="0.35">
      <c r="A72">
        <v>10</v>
      </c>
      <c r="B72" t="s">
        <v>43</v>
      </c>
      <c r="C72">
        <v>3.54</v>
      </c>
      <c r="D72">
        <v>25</v>
      </c>
      <c r="E72">
        <v>8.99</v>
      </c>
      <c r="F72">
        <v>4.5871559633027523</v>
      </c>
      <c r="G72">
        <f t="shared" si="4"/>
        <v>5.45</v>
      </c>
    </row>
    <row r="73" spans="1:9" x14ac:dyDescent="0.35">
      <c r="A73">
        <v>10</v>
      </c>
      <c r="B73" t="s">
        <v>43</v>
      </c>
      <c r="C73">
        <v>3.57</v>
      </c>
      <c r="D73">
        <v>25</v>
      </c>
      <c r="E73">
        <v>9.56</v>
      </c>
      <c r="F73">
        <v>4.1736227045075127</v>
      </c>
      <c r="G73">
        <f t="shared" si="4"/>
        <v>5.99</v>
      </c>
    </row>
    <row r="74" spans="1:9" x14ac:dyDescent="0.35">
      <c r="A74">
        <v>10</v>
      </c>
      <c r="B74" t="s">
        <v>43</v>
      </c>
      <c r="C74">
        <v>3.64</v>
      </c>
      <c r="D74">
        <v>25</v>
      </c>
      <c r="E74">
        <v>9.14</v>
      </c>
      <c r="F74">
        <v>4.5454545454545459</v>
      </c>
      <c r="G74">
        <f t="shared" si="4"/>
        <v>5.5</v>
      </c>
    </row>
    <row r="75" spans="1:9" x14ac:dyDescent="0.35">
      <c r="A75">
        <v>11</v>
      </c>
      <c r="B75" t="s">
        <v>44</v>
      </c>
      <c r="C75">
        <v>3.69</v>
      </c>
      <c r="D75">
        <v>15</v>
      </c>
      <c r="E75">
        <v>9.8000000000000007</v>
      </c>
      <c r="F75">
        <v>2.4549918166939437</v>
      </c>
      <c r="G75">
        <f t="shared" si="4"/>
        <v>6.1100000000000012</v>
      </c>
      <c r="H75">
        <v>15</v>
      </c>
      <c r="I75">
        <v>6.1100000000000012</v>
      </c>
    </row>
    <row r="76" spans="1:9" x14ac:dyDescent="0.35">
      <c r="A76">
        <v>11</v>
      </c>
      <c r="B76" t="s">
        <v>44</v>
      </c>
      <c r="C76">
        <v>3.58</v>
      </c>
      <c r="D76">
        <v>15</v>
      </c>
      <c r="E76">
        <v>9.6999999999999993</v>
      </c>
      <c r="F76">
        <v>2.4509803921568629</v>
      </c>
      <c r="G76">
        <f t="shared" si="4"/>
        <v>6.1199999999999992</v>
      </c>
      <c r="H76">
        <v>15</v>
      </c>
      <c r="I76">
        <v>6.1199999999999992</v>
      </c>
    </row>
    <row r="77" spans="1:9" x14ac:dyDescent="0.35">
      <c r="A77">
        <v>11</v>
      </c>
      <c r="B77" t="s">
        <v>44</v>
      </c>
      <c r="C77">
        <v>3.23</v>
      </c>
      <c r="D77">
        <v>15</v>
      </c>
      <c r="E77">
        <v>9.3000000000000007</v>
      </c>
      <c r="F77">
        <v>2.4711696869851729</v>
      </c>
      <c r="G77">
        <f t="shared" si="4"/>
        <v>6.07</v>
      </c>
      <c r="H77">
        <v>15</v>
      </c>
      <c r="I77">
        <v>6.07</v>
      </c>
    </row>
    <row r="78" spans="1:9" x14ac:dyDescent="0.35">
      <c r="A78">
        <v>12</v>
      </c>
      <c r="B78" t="s">
        <v>45</v>
      </c>
      <c r="C78">
        <v>3.45</v>
      </c>
      <c r="D78">
        <v>25</v>
      </c>
      <c r="E78">
        <v>6.39</v>
      </c>
      <c r="F78">
        <v>8.5034013605442187</v>
      </c>
      <c r="G78">
        <f t="shared" si="4"/>
        <v>2.9399999999999995</v>
      </c>
      <c r="H78">
        <v>55</v>
      </c>
      <c r="I78">
        <v>4.13</v>
      </c>
    </row>
    <row r="79" spans="1:9" x14ac:dyDescent="0.35">
      <c r="A79">
        <v>12</v>
      </c>
      <c r="B79" t="s">
        <v>45</v>
      </c>
      <c r="C79">
        <v>3.3</v>
      </c>
      <c r="D79">
        <v>25</v>
      </c>
      <c r="E79">
        <v>6.44</v>
      </c>
      <c r="F79">
        <v>7.9617834394904445</v>
      </c>
      <c r="G79">
        <f t="shared" si="4"/>
        <v>3.1400000000000006</v>
      </c>
      <c r="H79">
        <v>55</v>
      </c>
      <c r="I79">
        <v>4.21</v>
      </c>
    </row>
    <row r="80" spans="1:9" x14ac:dyDescent="0.35">
      <c r="A80">
        <v>12</v>
      </c>
      <c r="B80" t="s">
        <v>45</v>
      </c>
      <c r="C80">
        <v>3.27</v>
      </c>
      <c r="D80">
        <v>25</v>
      </c>
      <c r="E80">
        <v>6.58</v>
      </c>
      <c r="F80">
        <v>7.5528700906344408</v>
      </c>
      <c r="G80">
        <f t="shared" si="4"/>
        <v>3.31</v>
      </c>
      <c r="H80">
        <v>55</v>
      </c>
      <c r="I80">
        <v>4.24</v>
      </c>
    </row>
    <row r="81" spans="1:9" x14ac:dyDescent="0.35">
      <c r="A81">
        <v>12</v>
      </c>
      <c r="B81" t="s">
        <v>45</v>
      </c>
      <c r="C81">
        <v>6.39</v>
      </c>
      <c r="D81">
        <v>15</v>
      </c>
      <c r="E81">
        <v>6.72</v>
      </c>
      <c r="F81">
        <v>45.454545454545446</v>
      </c>
      <c r="G81">
        <f t="shared" si="4"/>
        <v>0.33000000000000007</v>
      </c>
    </row>
    <row r="82" spans="1:9" x14ac:dyDescent="0.35">
      <c r="A82">
        <v>12</v>
      </c>
      <c r="B82" t="s">
        <v>45</v>
      </c>
      <c r="C82">
        <v>6.44</v>
      </c>
      <c r="D82">
        <v>15</v>
      </c>
      <c r="E82">
        <v>6.66</v>
      </c>
      <c r="F82">
        <v>68.181818181818258</v>
      </c>
      <c r="G82">
        <f t="shared" si="4"/>
        <v>0.21999999999999975</v>
      </c>
    </row>
    <row r="83" spans="1:9" x14ac:dyDescent="0.35">
      <c r="A83">
        <v>12</v>
      </c>
      <c r="B83" t="s">
        <v>45</v>
      </c>
      <c r="C83">
        <v>6.58</v>
      </c>
      <c r="D83">
        <v>15</v>
      </c>
      <c r="E83">
        <v>6.66</v>
      </c>
      <c r="F83">
        <v>187.49999999999983</v>
      </c>
      <c r="G83">
        <f t="shared" si="4"/>
        <v>8.0000000000000071E-2</v>
      </c>
    </row>
    <row r="84" spans="1:9" x14ac:dyDescent="0.35">
      <c r="A84">
        <v>12</v>
      </c>
      <c r="B84" t="s">
        <v>45</v>
      </c>
      <c r="C84">
        <v>6.72</v>
      </c>
      <c r="D84">
        <v>15</v>
      </c>
      <c r="E84">
        <v>7.58</v>
      </c>
      <c r="F84">
        <v>17.441860465116271</v>
      </c>
      <c r="G84">
        <f t="shared" si="4"/>
        <v>0.86000000000000032</v>
      </c>
    </row>
    <row r="85" spans="1:9" x14ac:dyDescent="0.35">
      <c r="A85">
        <v>12</v>
      </c>
      <c r="B85" t="s">
        <v>45</v>
      </c>
      <c r="C85">
        <v>6.66</v>
      </c>
      <c r="D85">
        <v>15</v>
      </c>
      <c r="E85">
        <v>7.51</v>
      </c>
      <c r="F85">
        <v>17.64705882352942</v>
      </c>
      <c r="G85">
        <f t="shared" si="4"/>
        <v>0.84999999999999964</v>
      </c>
    </row>
    <row r="86" spans="1:9" x14ac:dyDescent="0.35">
      <c r="A86">
        <v>12</v>
      </c>
      <c r="B86" t="s">
        <v>45</v>
      </c>
      <c r="C86">
        <v>6.66</v>
      </c>
      <c r="D86">
        <v>15</v>
      </c>
      <c r="E86">
        <v>7.51</v>
      </c>
      <c r="F86">
        <v>17.64705882352942</v>
      </c>
      <c r="G86">
        <f t="shared" si="4"/>
        <v>0.84999999999999964</v>
      </c>
    </row>
    <row r="87" spans="1:9" x14ac:dyDescent="0.35">
      <c r="A87">
        <v>13</v>
      </c>
      <c r="B87" t="s">
        <v>46</v>
      </c>
      <c r="C87">
        <v>2.98</v>
      </c>
      <c r="D87">
        <v>25</v>
      </c>
      <c r="E87">
        <v>6.13</v>
      </c>
      <c r="F87">
        <v>7.9365079365079367</v>
      </c>
      <c r="G87">
        <f t="shared" si="4"/>
        <v>3.15</v>
      </c>
      <c r="H87">
        <v>47.5</v>
      </c>
      <c r="I87">
        <v>4.33</v>
      </c>
    </row>
    <row r="88" spans="1:9" x14ac:dyDescent="0.35">
      <c r="A88">
        <v>13</v>
      </c>
      <c r="B88" t="s">
        <v>46</v>
      </c>
      <c r="C88">
        <v>3.17</v>
      </c>
      <c r="D88">
        <v>25</v>
      </c>
      <c r="E88">
        <v>5.74</v>
      </c>
      <c r="F88">
        <v>9.7276264591439681</v>
      </c>
      <c r="G88">
        <f t="shared" si="4"/>
        <v>2.5700000000000003</v>
      </c>
      <c r="H88">
        <v>47.5</v>
      </c>
      <c r="I88">
        <v>4.76</v>
      </c>
    </row>
    <row r="89" spans="1:9" x14ac:dyDescent="0.35">
      <c r="A89">
        <v>13</v>
      </c>
      <c r="B89" t="s">
        <v>46</v>
      </c>
      <c r="C89">
        <v>3.33</v>
      </c>
      <c r="D89">
        <v>25</v>
      </c>
      <c r="E89">
        <v>7.3</v>
      </c>
      <c r="F89">
        <v>6.2972292191435768</v>
      </c>
      <c r="G89">
        <f t="shared" si="4"/>
        <v>3.9699999999999998</v>
      </c>
      <c r="H89">
        <v>25</v>
      </c>
      <c r="I89">
        <v>3.9699999999999998</v>
      </c>
    </row>
    <row r="90" spans="1:9" x14ac:dyDescent="0.35">
      <c r="A90">
        <v>13</v>
      </c>
      <c r="B90" t="s">
        <v>46</v>
      </c>
      <c r="C90">
        <v>6.13</v>
      </c>
      <c r="D90">
        <v>15</v>
      </c>
      <c r="E90">
        <v>6.47</v>
      </c>
      <c r="F90">
        <v>44.11764705882355</v>
      </c>
      <c r="G90">
        <f t="shared" si="4"/>
        <v>0.33999999999999986</v>
      </c>
    </row>
    <row r="91" spans="1:9" x14ac:dyDescent="0.35">
      <c r="A91">
        <v>13</v>
      </c>
      <c r="B91" t="s">
        <v>46</v>
      </c>
      <c r="C91">
        <v>5.74</v>
      </c>
      <c r="D91">
        <v>15</v>
      </c>
      <c r="E91">
        <v>6.45</v>
      </c>
      <c r="F91">
        <v>21.126760563380284</v>
      </c>
      <c r="G91">
        <f t="shared" si="4"/>
        <v>0.71</v>
      </c>
    </row>
    <row r="92" spans="1:9" x14ac:dyDescent="0.35">
      <c r="A92">
        <v>13</v>
      </c>
      <c r="B92" t="s">
        <v>46</v>
      </c>
      <c r="C92">
        <v>6.47</v>
      </c>
      <c r="D92">
        <v>7.5</v>
      </c>
      <c r="E92">
        <v>7.31</v>
      </c>
      <c r="F92">
        <v>8.9285714285714306</v>
      </c>
      <c r="G92">
        <f t="shared" si="4"/>
        <v>0.83999999999999986</v>
      </c>
    </row>
    <row r="93" spans="1:9" x14ac:dyDescent="0.35">
      <c r="A93">
        <v>13</v>
      </c>
      <c r="B93" t="s">
        <v>46</v>
      </c>
      <c r="C93">
        <v>6.45</v>
      </c>
      <c r="D93">
        <v>7.5</v>
      </c>
      <c r="E93">
        <v>7.93</v>
      </c>
      <c r="F93">
        <v>5.0675675675675693</v>
      </c>
      <c r="G93">
        <f t="shared" si="4"/>
        <v>1.4799999999999995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0EE1-A6D3-4E93-A399-28F1A316A5EE}">
  <dimension ref="A1:W93"/>
  <sheetViews>
    <sheetView workbookViewId="0">
      <selection activeCell="D1" activeCellId="1" sqref="C1:C1048576 D1:D1048576"/>
    </sheetView>
  </sheetViews>
  <sheetFormatPr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4</v>
      </c>
      <c r="E1" t="s">
        <v>23</v>
      </c>
      <c r="F1" t="s">
        <v>22</v>
      </c>
      <c r="G1" t="s">
        <v>14</v>
      </c>
      <c r="H1" t="s">
        <v>15</v>
      </c>
      <c r="J1" t="s">
        <v>47</v>
      </c>
      <c r="R1" s="4" t="s">
        <v>2</v>
      </c>
      <c r="S1" s="4" t="s">
        <v>3</v>
      </c>
      <c r="T1" s="4" t="s">
        <v>4</v>
      </c>
      <c r="U1" s="4" t="s">
        <v>78</v>
      </c>
      <c r="V1" s="4" t="s">
        <v>79</v>
      </c>
      <c r="W1" s="4" t="s">
        <v>80</v>
      </c>
    </row>
    <row r="2" spans="1:23" x14ac:dyDescent="0.35">
      <c r="A2">
        <v>1</v>
      </c>
      <c r="B2" t="s">
        <v>16</v>
      </c>
      <c r="C2">
        <v>3.58</v>
      </c>
      <c r="D2">
        <v>5.51</v>
      </c>
      <c r="E2">
        <v>12.95336787564767</v>
      </c>
      <c r="F2">
        <v>1.9299999999999997</v>
      </c>
      <c r="G2">
        <v>50</v>
      </c>
      <c r="H2">
        <v>3.5199999999999996</v>
      </c>
      <c r="J2">
        <f>(2.7208*F2)/((8.3313+(1.4243*C2))-H2)</f>
        <v>0.52986763056676212</v>
      </c>
      <c r="R2">
        <v>3.58</v>
      </c>
      <c r="S2">
        <v>25</v>
      </c>
      <c r="T2">
        <v>5.51</v>
      </c>
      <c r="U2">
        <v>1.93</v>
      </c>
      <c r="V2">
        <v>0.55512616930768166</v>
      </c>
      <c r="W2">
        <v>12.95336787564767</v>
      </c>
    </row>
    <row r="3" spans="1:23" x14ac:dyDescent="0.35">
      <c r="A3">
        <v>1</v>
      </c>
      <c r="B3" t="s">
        <v>16</v>
      </c>
      <c r="C3">
        <v>3.3</v>
      </c>
      <c r="D3">
        <v>5.26</v>
      </c>
      <c r="E3">
        <v>12.755102040816327</v>
      </c>
      <c r="F3">
        <v>1.96</v>
      </c>
      <c r="G3">
        <v>50</v>
      </c>
      <c r="H3">
        <v>3.9300000000000006</v>
      </c>
      <c r="J3">
        <f t="shared" ref="J3:J66" si="0">(2.7208*F3)/((8.3313+(1.4243*C3))-H3)</f>
        <v>0.58592252477341633</v>
      </c>
      <c r="R3">
        <v>3.3</v>
      </c>
      <c r="S3">
        <v>25</v>
      </c>
      <c r="T3">
        <v>5.26</v>
      </c>
      <c r="U3">
        <v>1.96</v>
      </c>
      <c r="V3">
        <v>0.55701723388940727</v>
      </c>
      <c r="W3">
        <v>12.755102040816331</v>
      </c>
    </row>
    <row r="4" spans="1:23" x14ac:dyDescent="0.35">
      <c r="A4">
        <v>1</v>
      </c>
      <c r="B4" t="s">
        <v>16</v>
      </c>
      <c r="C4">
        <v>3.26</v>
      </c>
      <c r="D4">
        <v>4.93</v>
      </c>
      <c r="E4">
        <v>14.970059880239521</v>
      </c>
      <c r="F4">
        <v>1.67</v>
      </c>
      <c r="G4">
        <v>50</v>
      </c>
      <c r="H4">
        <v>3.75</v>
      </c>
      <c r="J4">
        <f t="shared" si="0"/>
        <v>0.49257164439377754</v>
      </c>
      <c r="R4">
        <v>3.26</v>
      </c>
      <c r="S4">
        <v>25</v>
      </c>
      <c r="T4">
        <v>4.93</v>
      </c>
      <c r="U4">
        <v>1.67</v>
      </c>
      <c r="V4">
        <v>0.54160336430114453</v>
      </c>
      <c r="W4">
        <v>14.97005988023952</v>
      </c>
    </row>
    <row r="5" spans="1:23" x14ac:dyDescent="0.35">
      <c r="A5">
        <v>1</v>
      </c>
      <c r="B5" t="s">
        <v>16</v>
      </c>
      <c r="C5">
        <v>3.24</v>
      </c>
      <c r="D5">
        <v>4.18</v>
      </c>
      <c r="E5">
        <v>26.595744680851077</v>
      </c>
      <c r="F5">
        <v>0.9399999999999995</v>
      </c>
      <c r="G5">
        <v>50.012500000000003</v>
      </c>
      <c r="H5">
        <v>3.5599999999999996</v>
      </c>
      <c r="J5">
        <f t="shared" si="0"/>
        <v>0.27248490096773575</v>
      </c>
      <c r="N5" s="3" t="s">
        <v>48</v>
      </c>
      <c r="R5">
        <v>3.24</v>
      </c>
      <c r="S5">
        <v>25</v>
      </c>
      <c r="T5">
        <v>4.18</v>
      </c>
      <c r="U5">
        <v>0.9399999999999995</v>
      </c>
      <c r="V5">
        <v>0.538473150568473</v>
      </c>
      <c r="W5">
        <v>26.59574468085108</v>
      </c>
    </row>
    <row r="6" spans="1:23" x14ac:dyDescent="0.35">
      <c r="A6">
        <v>1</v>
      </c>
      <c r="B6" t="s">
        <v>16</v>
      </c>
      <c r="C6">
        <v>3.19</v>
      </c>
      <c r="D6">
        <v>5.25</v>
      </c>
      <c r="E6">
        <v>12.135922330097086</v>
      </c>
      <c r="F6">
        <v>2.06</v>
      </c>
      <c r="G6">
        <v>50.012500000000003</v>
      </c>
      <c r="H6">
        <v>3.82</v>
      </c>
      <c r="J6">
        <f t="shared" si="0"/>
        <v>0.61899075376123014</v>
      </c>
      <c r="R6">
        <v>3.19</v>
      </c>
      <c r="S6">
        <v>25</v>
      </c>
      <c r="T6">
        <v>5.25</v>
      </c>
      <c r="U6">
        <v>2.06</v>
      </c>
      <c r="V6">
        <v>0.56379976609573967</v>
      </c>
      <c r="W6">
        <v>12.13592233009709</v>
      </c>
    </row>
    <row r="7" spans="1:23" x14ac:dyDescent="0.35">
      <c r="A7">
        <v>1</v>
      </c>
      <c r="B7" t="s">
        <v>16</v>
      </c>
      <c r="C7">
        <v>5.51</v>
      </c>
      <c r="D7">
        <v>7.1</v>
      </c>
      <c r="E7">
        <v>15.723270440251573</v>
      </c>
      <c r="F7">
        <v>1.5899999999999999</v>
      </c>
      <c r="J7">
        <f t="shared" si="0"/>
        <v>0.26738490603332321</v>
      </c>
      <c r="R7">
        <v>5.51</v>
      </c>
      <c r="S7">
        <v>25</v>
      </c>
      <c r="T7">
        <v>7.1</v>
      </c>
      <c r="U7">
        <v>1.59</v>
      </c>
      <c r="V7">
        <v>0.53852713837781163</v>
      </c>
      <c r="W7">
        <v>15.72327044025157</v>
      </c>
    </row>
    <row r="8" spans="1:23" x14ac:dyDescent="0.35">
      <c r="A8">
        <v>1</v>
      </c>
      <c r="B8" t="s">
        <v>16</v>
      </c>
      <c r="C8">
        <v>5.26</v>
      </c>
      <c r="D8">
        <v>7.23</v>
      </c>
      <c r="E8">
        <v>12.690355329949234</v>
      </c>
      <c r="F8">
        <v>1.9700000000000006</v>
      </c>
      <c r="J8">
        <f t="shared" si="0"/>
        <v>0.33874335007803152</v>
      </c>
      <c r="R8">
        <v>5.26</v>
      </c>
      <c r="S8">
        <v>25</v>
      </c>
      <c r="T8">
        <v>7.23</v>
      </c>
      <c r="U8">
        <v>1.9700000000000011</v>
      </c>
      <c r="V8">
        <v>0.55766239444755017</v>
      </c>
      <c r="W8">
        <v>12.690355329949231</v>
      </c>
    </row>
    <row r="9" spans="1:23" x14ac:dyDescent="0.35">
      <c r="A9">
        <v>1</v>
      </c>
      <c r="B9" t="s">
        <v>16</v>
      </c>
      <c r="C9">
        <v>4.93</v>
      </c>
      <c r="D9">
        <v>7.01</v>
      </c>
      <c r="E9">
        <v>12.019230769230768</v>
      </c>
      <c r="F9">
        <v>2.08</v>
      </c>
      <c r="J9">
        <f t="shared" si="0"/>
        <v>0.36860727596428577</v>
      </c>
      <c r="R9">
        <v>4.93</v>
      </c>
      <c r="S9">
        <v>25</v>
      </c>
      <c r="T9">
        <v>7.01</v>
      </c>
      <c r="U9">
        <v>2.08</v>
      </c>
      <c r="V9">
        <v>0.56524415241647952</v>
      </c>
      <c r="W9">
        <v>12.01923076923077</v>
      </c>
    </row>
    <row r="10" spans="1:23" x14ac:dyDescent="0.35">
      <c r="A10">
        <v>1</v>
      </c>
      <c r="B10" t="s">
        <v>16</v>
      </c>
      <c r="C10">
        <v>4.18</v>
      </c>
      <c r="D10">
        <v>6.56</v>
      </c>
      <c r="E10">
        <v>10.504201680672269</v>
      </c>
      <c r="F10">
        <v>2.38</v>
      </c>
      <c r="J10">
        <f t="shared" si="0"/>
        <v>0.45331194380853485</v>
      </c>
      <c r="R10">
        <v>4.18</v>
      </c>
      <c r="S10">
        <v>25</v>
      </c>
      <c r="T10">
        <v>6.56</v>
      </c>
      <c r="U10">
        <v>2.38</v>
      </c>
      <c r="V10">
        <v>0.5904173508097893</v>
      </c>
      <c r="W10">
        <v>10.504201680672271</v>
      </c>
    </row>
    <row r="11" spans="1:23" x14ac:dyDescent="0.35">
      <c r="A11">
        <v>1</v>
      </c>
      <c r="B11" t="s">
        <v>16</v>
      </c>
      <c r="C11">
        <v>5.25</v>
      </c>
      <c r="D11">
        <v>6.64</v>
      </c>
      <c r="E11">
        <v>17.985611510791372</v>
      </c>
      <c r="F11">
        <v>1.3899999999999997</v>
      </c>
      <c r="J11">
        <f t="shared" si="0"/>
        <v>0.23922714298139489</v>
      </c>
      <c r="R11">
        <v>5.25</v>
      </c>
      <c r="S11">
        <v>25</v>
      </c>
      <c r="T11">
        <v>6.64</v>
      </c>
      <c r="U11">
        <v>1.39</v>
      </c>
      <c r="V11">
        <v>0.53332003994256039</v>
      </c>
      <c r="W11">
        <v>17.985611510791369</v>
      </c>
    </row>
    <row r="12" spans="1:23" x14ac:dyDescent="0.35">
      <c r="A12">
        <v>1</v>
      </c>
      <c r="B12" t="s">
        <v>16</v>
      </c>
      <c r="C12">
        <v>6.56</v>
      </c>
      <c r="D12">
        <v>6.8</v>
      </c>
      <c r="E12">
        <v>5.2083333333333287E-2</v>
      </c>
      <c r="F12">
        <v>0.24000000000000021</v>
      </c>
      <c r="J12">
        <f t="shared" si="0"/>
        <v>3.6944995074317526E-2</v>
      </c>
      <c r="R12">
        <v>6.56</v>
      </c>
      <c r="S12">
        <v>1.2500000000000001E-2</v>
      </c>
      <c r="T12">
        <v>6.8</v>
      </c>
      <c r="U12">
        <v>0.24000000000000021</v>
      </c>
      <c r="V12">
        <v>0.69327595689679444</v>
      </c>
      <c r="W12">
        <v>5.2083333333333287E-2</v>
      </c>
    </row>
    <row r="13" spans="1:23" x14ac:dyDescent="0.35">
      <c r="A13">
        <v>1</v>
      </c>
      <c r="B13" t="s">
        <v>16</v>
      </c>
      <c r="C13">
        <v>6.64</v>
      </c>
      <c r="D13">
        <v>7.01</v>
      </c>
      <c r="E13">
        <v>3.3783783783783779E-2</v>
      </c>
      <c r="F13">
        <v>0.37000000000000011</v>
      </c>
      <c r="J13">
        <f t="shared" si="0"/>
        <v>5.659203406756174E-2</v>
      </c>
      <c r="R13">
        <v>6.64</v>
      </c>
      <c r="S13">
        <v>1.2500000000000001E-2</v>
      </c>
      <c r="T13">
        <v>7.01</v>
      </c>
      <c r="U13">
        <v>0.37000000000000011</v>
      </c>
      <c r="V13">
        <v>0.62643604589257995</v>
      </c>
      <c r="W13">
        <v>3.3783783783783779E-2</v>
      </c>
    </row>
    <row r="14" spans="1:23" x14ac:dyDescent="0.35">
      <c r="A14">
        <v>2</v>
      </c>
      <c r="B14" t="s">
        <v>18</v>
      </c>
      <c r="C14">
        <v>3.41</v>
      </c>
      <c r="D14">
        <v>4.0199999999999996</v>
      </c>
      <c r="E14">
        <v>4.098360655737709</v>
      </c>
      <c r="F14">
        <v>0.60999999999999943</v>
      </c>
      <c r="G14">
        <v>9</v>
      </c>
      <c r="H14">
        <v>3.62</v>
      </c>
      <c r="J14">
        <f t="shared" si="0"/>
        <v>0.17345941953539032</v>
      </c>
      <c r="R14">
        <v>3.41</v>
      </c>
      <c r="S14">
        <v>2.5</v>
      </c>
      <c r="T14">
        <v>4.0199999999999996</v>
      </c>
      <c r="U14">
        <v>0.60999999999999943</v>
      </c>
      <c r="V14">
        <v>0.56861862641710648</v>
      </c>
      <c r="W14">
        <v>4.098360655737709</v>
      </c>
    </row>
    <row r="15" spans="1:23" x14ac:dyDescent="0.35">
      <c r="A15">
        <v>2</v>
      </c>
      <c r="B15" t="s">
        <v>18</v>
      </c>
      <c r="C15">
        <v>3.53</v>
      </c>
      <c r="D15">
        <v>3.76</v>
      </c>
      <c r="E15">
        <v>32.608695652173914</v>
      </c>
      <c r="F15">
        <v>0.22999999999999998</v>
      </c>
      <c r="G15">
        <v>22.5</v>
      </c>
      <c r="H15">
        <v>3.5000000000000004</v>
      </c>
      <c r="J15">
        <f t="shared" si="0"/>
        <v>6.3472865974600667E-2</v>
      </c>
      <c r="R15">
        <v>3.53</v>
      </c>
      <c r="S15">
        <v>7.5</v>
      </c>
      <c r="T15">
        <v>3.76</v>
      </c>
      <c r="U15">
        <v>0.23</v>
      </c>
      <c r="V15">
        <v>0.70064710821796139</v>
      </c>
      <c r="W15">
        <v>32.608695652173907</v>
      </c>
    </row>
    <row r="16" spans="1:23" x14ac:dyDescent="0.35">
      <c r="A16">
        <v>2</v>
      </c>
      <c r="B16" t="s">
        <v>18</v>
      </c>
      <c r="C16">
        <v>3.59</v>
      </c>
      <c r="D16">
        <v>3.68</v>
      </c>
      <c r="E16">
        <v>138.88888888888843</v>
      </c>
      <c r="F16">
        <v>9.0000000000000302E-2</v>
      </c>
      <c r="G16">
        <v>25</v>
      </c>
      <c r="H16">
        <v>3.9299999999999997</v>
      </c>
      <c r="J16">
        <f t="shared" si="0"/>
        <v>2.5736617556902749E-2</v>
      </c>
      <c r="R16">
        <v>3.59</v>
      </c>
      <c r="S16">
        <v>12.5</v>
      </c>
      <c r="T16">
        <v>3.68</v>
      </c>
      <c r="U16">
        <v>9.0000000000000302E-2</v>
      </c>
      <c r="V16">
        <v>0.89996199906892693</v>
      </c>
      <c r="W16">
        <v>138.8888888888884</v>
      </c>
    </row>
    <row r="17" spans="1:23" x14ac:dyDescent="0.35">
      <c r="A17">
        <v>2</v>
      </c>
      <c r="B17" t="s">
        <v>18</v>
      </c>
      <c r="C17">
        <v>3.78</v>
      </c>
      <c r="D17">
        <v>4.13</v>
      </c>
      <c r="E17">
        <v>0.35714285714285704</v>
      </c>
      <c r="F17">
        <v>0.35000000000000009</v>
      </c>
      <c r="G17">
        <v>3.375</v>
      </c>
      <c r="H17">
        <v>4.59</v>
      </c>
      <c r="J17">
        <f t="shared" si="0"/>
        <v>0.10435769084006694</v>
      </c>
      <c r="R17">
        <v>3.78</v>
      </c>
      <c r="S17">
        <v>0.125</v>
      </c>
      <c r="T17">
        <v>4.13</v>
      </c>
      <c r="U17">
        <v>0.35000000000000009</v>
      </c>
      <c r="V17">
        <v>0.63417847129976535</v>
      </c>
      <c r="W17">
        <v>0.35714285714285698</v>
      </c>
    </row>
    <row r="18" spans="1:23" x14ac:dyDescent="0.35">
      <c r="A18">
        <v>2</v>
      </c>
      <c r="B18" t="s">
        <v>18</v>
      </c>
      <c r="C18">
        <v>4.0199999999999996</v>
      </c>
      <c r="D18">
        <v>7.03</v>
      </c>
      <c r="E18">
        <v>2.1594684385382057</v>
      </c>
      <c r="F18">
        <v>3.0100000000000007</v>
      </c>
      <c r="J18">
        <f t="shared" si="0"/>
        <v>0.58260056601038102</v>
      </c>
      <c r="R18">
        <v>4</v>
      </c>
      <c r="S18">
        <v>0.125</v>
      </c>
      <c r="T18">
        <v>3.71</v>
      </c>
      <c r="U18">
        <v>-0.28999999999999998</v>
      </c>
    </row>
    <row r="19" spans="1:23" x14ac:dyDescent="0.35">
      <c r="A19">
        <v>2</v>
      </c>
      <c r="B19" t="s">
        <v>18</v>
      </c>
      <c r="C19">
        <v>3.76</v>
      </c>
      <c r="D19">
        <v>6.64</v>
      </c>
      <c r="E19">
        <v>4.3402777777777777</v>
      </c>
      <c r="F19">
        <v>2.88</v>
      </c>
      <c r="J19">
        <f t="shared" si="0"/>
        <v>0.57252093789372249</v>
      </c>
      <c r="R19">
        <v>4.0199999999999996</v>
      </c>
      <c r="S19">
        <v>6.5</v>
      </c>
      <c r="T19">
        <v>7.03</v>
      </c>
      <c r="U19">
        <v>3.0100000000000011</v>
      </c>
      <c r="V19">
        <v>0.66602163315038332</v>
      </c>
      <c r="W19">
        <v>2.1594684385382061</v>
      </c>
    </row>
    <row r="20" spans="1:23" x14ac:dyDescent="0.35">
      <c r="A20">
        <v>2</v>
      </c>
      <c r="B20" t="s">
        <v>18</v>
      </c>
      <c r="C20">
        <v>3.68</v>
      </c>
      <c r="D20">
        <v>7.52</v>
      </c>
      <c r="E20">
        <v>3.2552083333333339</v>
      </c>
      <c r="F20">
        <v>3.8399999999999994</v>
      </c>
      <c r="J20">
        <f t="shared" si="0"/>
        <v>0.76976972345418637</v>
      </c>
      <c r="R20">
        <v>3.76</v>
      </c>
      <c r="S20">
        <v>12.5</v>
      </c>
      <c r="T20">
        <v>6.64</v>
      </c>
      <c r="U20">
        <v>2.88</v>
      </c>
      <c r="V20">
        <v>0.64767674614434323</v>
      </c>
      <c r="W20">
        <v>4.3402777777777777</v>
      </c>
    </row>
    <row r="21" spans="1:23" x14ac:dyDescent="0.35">
      <c r="A21">
        <v>2</v>
      </c>
      <c r="B21" t="s">
        <v>18</v>
      </c>
      <c r="C21">
        <v>4.13</v>
      </c>
      <c r="D21">
        <v>5.98</v>
      </c>
      <c r="E21">
        <v>0.20270270270270263</v>
      </c>
      <c r="F21">
        <v>1.8500000000000005</v>
      </c>
      <c r="J21">
        <f t="shared" si="0"/>
        <v>0.35412978459663352</v>
      </c>
      <c r="R21">
        <v>3.68</v>
      </c>
      <c r="S21">
        <v>12.5</v>
      </c>
      <c r="T21">
        <v>7.52</v>
      </c>
      <c r="U21">
        <v>3.839999999999999</v>
      </c>
      <c r="V21">
        <v>0.82667195298054896</v>
      </c>
      <c r="W21">
        <v>3.2552083333333339</v>
      </c>
    </row>
    <row r="22" spans="1:23" x14ac:dyDescent="0.35">
      <c r="A22">
        <v>2</v>
      </c>
      <c r="B22" t="s">
        <v>18</v>
      </c>
      <c r="C22">
        <v>3.71</v>
      </c>
      <c r="D22">
        <v>3.88</v>
      </c>
      <c r="E22">
        <v>0.7352941176470591</v>
      </c>
      <c r="F22">
        <v>0.16999999999999993</v>
      </c>
      <c r="J22">
        <f t="shared" si="0"/>
        <v>3.3971399996753672E-2</v>
      </c>
      <c r="R22">
        <v>4.13</v>
      </c>
      <c r="S22">
        <v>0.375</v>
      </c>
      <c r="T22">
        <v>5.98</v>
      </c>
      <c r="U22">
        <v>1.850000000000001</v>
      </c>
      <c r="V22">
        <v>0.55041182062183791</v>
      </c>
      <c r="W22">
        <v>0.2027027027027026</v>
      </c>
    </row>
    <row r="23" spans="1:23" x14ac:dyDescent="0.35">
      <c r="A23">
        <v>3</v>
      </c>
      <c r="B23" t="s">
        <v>19</v>
      </c>
      <c r="C23">
        <v>1.99</v>
      </c>
      <c r="D23">
        <v>4.13</v>
      </c>
      <c r="E23">
        <v>1.1682242990654208</v>
      </c>
      <c r="F23">
        <v>2.1399999999999997</v>
      </c>
      <c r="G23">
        <v>7.5</v>
      </c>
      <c r="H23">
        <v>5.75</v>
      </c>
      <c r="J23">
        <f t="shared" si="0"/>
        <v>1.0751256957373778</v>
      </c>
      <c r="R23">
        <v>3.71</v>
      </c>
      <c r="S23">
        <v>0.125</v>
      </c>
      <c r="T23">
        <v>3.88</v>
      </c>
      <c r="U23">
        <v>0.1699999999999999</v>
      </c>
      <c r="V23">
        <v>0.75709926302224828</v>
      </c>
      <c r="W23">
        <v>0.7352941176470591</v>
      </c>
    </row>
    <row r="24" spans="1:23" x14ac:dyDescent="0.35">
      <c r="A24">
        <v>3</v>
      </c>
      <c r="B24" t="s">
        <v>19</v>
      </c>
      <c r="C24">
        <v>2.02</v>
      </c>
      <c r="D24">
        <v>4.05</v>
      </c>
      <c r="E24">
        <v>1.2315270935960592</v>
      </c>
      <c r="F24">
        <v>2.0299999999999998</v>
      </c>
      <c r="G24">
        <v>10</v>
      </c>
      <c r="H24">
        <v>6.75</v>
      </c>
      <c r="J24">
        <f t="shared" si="0"/>
        <v>1.2388393467950058</v>
      </c>
      <c r="R24">
        <v>1.99</v>
      </c>
      <c r="S24">
        <v>2.5</v>
      </c>
      <c r="T24">
        <v>4.13</v>
      </c>
      <c r="U24">
        <v>2.14</v>
      </c>
      <c r="V24">
        <v>0.56975232274937382</v>
      </c>
      <c r="W24">
        <v>1.168224299065421</v>
      </c>
    </row>
    <row r="25" spans="1:23" x14ac:dyDescent="0.35">
      <c r="A25">
        <v>3</v>
      </c>
      <c r="B25" t="s">
        <v>19</v>
      </c>
      <c r="C25">
        <v>2.23</v>
      </c>
      <c r="D25">
        <v>9.75</v>
      </c>
      <c r="E25">
        <v>1.6622340425531916</v>
      </c>
      <c r="F25">
        <v>7.52</v>
      </c>
      <c r="G25">
        <v>12.5</v>
      </c>
      <c r="H25">
        <v>7.52</v>
      </c>
      <c r="J25">
        <f t="shared" si="0"/>
        <v>5.1311529636821565</v>
      </c>
      <c r="R25">
        <v>2.02</v>
      </c>
      <c r="S25">
        <v>2.5</v>
      </c>
      <c r="T25">
        <v>4.05</v>
      </c>
      <c r="U25">
        <v>2.0299999999999998</v>
      </c>
      <c r="V25">
        <v>0.56168798550926047</v>
      </c>
      <c r="W25">
        <v>1.2315270935960589</v>
      </c>
    </row>
    <row r="26" spans="1:23" x14ac:dyDescent="0.35">
      <c r="A26">
        <v>3</v>
      </c>
      <c r="B26" t="s">
        <v>19</v>
      </c>
      <c r="C26">
        <v>2.21</v>
      </c>
      <c r="D26">
        <v>8.82</v>
      </c>
      <c r="E26">
        <v>1.8910741301059</v>
      </c>
      <c r="F26">
        <v>6.61</v>
      </c>
      <c r="G26">
        <v>12.5</v>
      </c>
      <c r="H26">
        <v>6.61</v>
      </c>
      <c r="J26">
        <f t="shared" si="0"/>
        <v>3.69366952536279</v>
      </c>
      <c r="R26">
        <v>2.23</v>
      </c>
      <c r="S26">
        <v>12.5</v>
      </c>
      <c r="T26">
        <v>9.75</v>
      </c>
      <c r="U26">
        <v>7.52</v>
      </c>
      <c r="V26">
        <v>12.455585106029201</v>
      </c>
      <c r="W26">
        <v>1.6622340425531921</v>
      </c>
    </row>
    <row r="27" spans="1:23" x14ac:dyDescent="0.35">
      <c r="A27">
        <v>3</v>
      </c>
      <c r="B27" t="s">
        <v>19</v>
      </c>
      <c r="C27">
        <v>2.16</v>
      </c>
      <c r="D27">
        <v>9.1300000000000008</v>
      </c>
      <c r="E27">
        <v>1.7934002869440457</v>
      </c>
      <c r="F27">
        <v>6.9700000000000006</v>
      </c>
      <c r="G27">
        <v>12.5</v>
      </c>
      <c r="H27">
        <v>6.9700000000000006</v>
      </c>
      <c r="J27">
        <f t="shared" si="0"/>
        <v>4.2732947134923984</v>
      </c>
      <c r="R27">
        <v>2.21</v>
      </c>
      <c r="S27">
        <v>12.5</v>
      </c>
      <c r="T27">
        <v>8.82</v>
      </c>
      <c r="U27">
        <v>6.61</v>
      </c>
      <c r="V27">
        <v>3.597642580651276</v>
      </c>
      <c r="W27">
        <v>1.8910741301059</v>
      </c>
    </row>
    <row r="28" spans="1:23" x14ac:dyDescent="0.35">
      <c r="A28">
        <v>3</v>
      </c>
      <c r="B28" t="s">
        <v>19</v>
      </c>
      <c r="C28">
        <v>4.13</v>
      </c>
      <c r="D28">
        <v>7.74</v>
      </c>
      <c r="E28">
        <v>1.3850415512465373</v>
      </c>
      <c r="F28">
        <v>3.6100000000000003</v>
      </c>
      <c r="J28">
        <f t="shared" si="0"/>
        <v>0.69103163372640364</v>
      </c>
      <c r="R28">
        <v>2.16</v>
      </c>
      <c r="S28">
        <v>12.5</v>
      </c>
      <c r="T28">
        <v>9.1300000000000008</v>
      </c>
      <c r="U28">
        <v>6.9700000000000006</v>
      </c>
      <c r="V28">
        <v>5.2796547218667742</v>
      </c>
      <c r="W28">
        <v>1.793400286944046</v>
      </c>
    </row>
    <row r="29" spans="1:23" x14ac:dyDescent="0.35">
      <c r="A29">
        <v>3</v>
      </c>
      <c r="B29" t="s">
        <v>19</v>
      </c>
      <c r="C29">
        <v>4.05</v>
      </c>
      <c r="D29">
        <v>8.77</v>
      </c>
      <c r="E29">
        <v>1.5889830508474576</v>
      </c>
      <c r="F29">
        <v>4.72</v>
      </c>
      <c r="J29">
        <f t="shared" si="0"/>
        <v>0.91081103412373943</v>
      </c>
      <c r="R29">
        <v>4.13</v>
      </c>
      <c r="S29">
        <v>5</v>
      </c>
      <c r="T29">
        <v>7.74</v>
      </c>
      <c r="U29">
        <v>3.61</v>
      </c>
      <c r="V29">
        <v>0.77340390777613544</v>
      </c>
      <c r="W29">
        <v>1.3850415512465371</v>
      </c>
    </row>
    <row r="30" spans="1:23" x14ac:dyDescent="0.35">
      <c r="A30">
        <v>4</v>
      </c>
      <c r="B30" t="s">
        <v>20</v>
      </c>
      <c r="C30">
        <v>3.77</v>
      </c>
      <c r="D30">
        <v>4.18</v>
      </c>
      <c r="E30">
        <v>18.292682926829283</v>
      </c>
      <c r="F30">
        <v>0.4099999999999997</v>
      </c>
      <c r="G30">
        <v>40</v>
      </c>
      <c r="H30">
        <v>3.28</v>
      </c>
      <c r="J30">
        <f t="shared" si="0"/>
        <v>0.10704707102862686</v>
      </c>
      <c r="R30">
        <v>4.05</v>
      </c>
      <c r="S30">
        <v>7.5</v>
      </c>
      <c r="T30">
        <v>8.77</v>
      </c>
      <c r="U30">
        <v>4.72</v>
      </c>
      <c r="V30">
        <v>1.126785769248646</v>
      </c>
      <c r="W30">
        <v>1.5889830508474581</v>
      </c>
    </row>
    <row r="31" spans="1:23" x14ac:dyDescent="0.35">
      <c r="A31">
        <v>4</v>
      </c>
      <c r="B31" t="s">
        <v>20</v>
      </c>
      <c r="C31">
        <v>3.79</v>
      </c>
      <c r="D31">
        <v>4.0999999999999996</v>
      </c>
      <c r="E31">
        <v>24.193548387096804</v>
      </c>
      <c r="F31">
        <v>0.30999999999999961</v>
      </c>
      <c r="G31">
        <v>40</v>
      </c>
      <c r="H31">
        <v>3.5300000000000002</v>
      </c>
      <c r="J31">
        <f t="shared" si="0"/>
        <v>8.2695869177364004E-2</v>
      </c>
      <c r="R31">
        <v>3.77</v>
      </c>
      <c r="S31">
        <v>7.5</v>
      </c>
      <c r="T31">
        <v>4.18</v>
      </c>
      <c r="U31">
        <v>0.4099999999999997</v>
      </c>
      <c r="V31">
        <v>0.61280045607859612</v>
      </c>
      <c r="W31">
        <v>18.292682926829279</v>
      </c>
    </row>
    <row r="32" spans="1:23" x14ac:dyDescent="0.35">
      <c r="A32">
        <v>4</v>
      </c>
      <c r="B32" t="s">
        <v>20</v>
      </c>
      <c r="C32">
        <v>4.0999999999999996</v>
      </c>
      <c r="D32">
        <v>4.68</v>
      </c>
      <c r="E32">
        <v>12.931034482758619</v>
      </c>
      <c r="F32">
        <v>0.58000000000000007</v>
      </c>
      <c r="J32">
        <f t="shared" si="0"/>
        <v>0.11135924036037159</v>
      </c>
      <c r="R32">
        <v>3.79</v>
      </c>
      <c r="S32">
        <v>7.5</v>
      </c>
      <c r="T32">
        <v>4.0999999999999996</v>
      </c>
      <c r="U32">
        <v>0.30999999999999961</v>
      </c>
      <c r="V32">
        <v>0.65195449789487825</v>
      </c>
      <c r="W32">
        <v>24.193548387096801</v>
      </c>
    </row>
    <row r="33" spans="1:23" x14ac:dyDescent="0.35">
      <c r="A33">
        <v>4</v>
      </c>
      <c r="B33" t="s">
        <v>20</v>
      </c>
      <c r="C33">
        <v>4.18</v>
      </c>
      <c r="D33">
        <v>5.74</v>
      </c>
      <c r="E33">
        <v>8.012820512820511</v>
      </c>
      <c r="F33">
        <v>1.5600000000000005</v>
      </c>
      <c r="J33">
        <f t="shared" si="0"/>
        <v>0.29712883711819937</v>
      </c>
      <c r="R33">
        <v>4.18</v>
      </c>
      <c r="S33">
        <v>7.5</v>
      </c>
      <c r="T33">
        <v>4.18</v>
      </c>
      <c r="U33">
        <v>0</v>
      </c>
    </row>
    <row r="34" spans="1:23" x14ac:dyDescent="0.35">
      <c r="A34">
        <v>4</v>
      </c>
      <c r="B34" t="s">
        <v>20</v>
      </c>
      <c r="C34">
        <v>4.68</v>
      </c>
      <c r="D34">
        <v>5.57</v>
      </c>
      <c r="E34">
        <v>14.044943820224709</v>
      </c>
      <c r="F34">
        <v>0.89000000000000057</v>
      </c>
      <c r="J34">
        <f t="shared" si="0"/>
        <v>0.16146616822110851</v>
      </c>
      <c r="R34">
        <v>4.0999999999999996</v>
      </c>
      <c r="S34">
        <v>7.5</v>
      </c>
      <c r="T34">
        <v>4.68</v>
      </c>
      <c r="U34">
        <v>0.58000000000000007</v>
      </c>
      <c r="V34">
        <v>0.57342829445677057</v>
      </c>
      <c r="W34">
        <v>12.931034482758619</v>
      </c>
    </row>
    <row r="35" spans="1:23" x14ac:dyDescent="0.35">
      <c r="A35">
        <v>4</v>
      </c>
      <c r="B35" t="s">
        <v>20</v>
      </c>
      <c r="C35">
        <v>5.74</v>
      </c>
      <c r="D35">
        <v>7.05</v>
      </c>
      <c r="E35">
        <v>9.5419847328244298</v>
      </c>
      <c r="F35">
        <v>1.3099999999999996</v>
      </c>
      <c r="J35">
        <f t="shared" si="0"/>
        <v>0.21592627805952722</v>
      </c>
      <c r="R35">
        <v>4.18</v>
      </c>
      <c r="S35">
        <v>12.5</v>
      </c>
      <c r="T35">
        <v>5.74</v>
      </c>
      <c r="U35">
        <v>1.56</v>
      </c>
      <c r="V35">
        <v>0.53751384537741786</v>
      </c>
      <c r="W35">
        <v>8.012820512820511</v>
      </c>
    </row>
    <row r="36" spans="1:23" x14ac:dyDescent="0.35">
      <c r="A36">
        <v>4</v>
      </c>
      <c r="B36" t="s">
        <v>20</v>
      </c>
      <c r="C36">
        <v>5.57</v>
      </c>
      <c r="D36">
        <v>7.32</v>
      </c>
      <c r="E36">
        <v>7.1428571428571432</v>
      </c>
      <c r="F36">
        <v>1.75</v>
      </c>
      <c r="J36">
        <f t="shared" si="0"/>
        <v>0.29274529161431129</v>
      </c>
      <c r="R36">
        <v>4.68</v>
      </c>
      <c r="S36">
        <v>12.5</v>
      </c>
      <c r="T36">
        <v>5.57</v>
      </c>
      <c r="U36">
        <v>0.89000000000000057</v>
      </c>
      <c r="V36">
        <v>0.54106800802047739</v>
      </c>
      <c r="W36">
        <v>14.044943820224709</v>
      </c>
    </row>
    <row r="37" spans="1:23" x14ac:dyDescent="0.35">
      <c r="A37">
        <v>5</v>
      </c>
      <c r="B37" t="s">
        <v>21</v>
      </c>
      <c r="C37">
        <v>3.72</v>
      </c>
      <c r="D37">
        <v>7.35</v>
      </c>
      <c r="E37">
        <v>2.0661157024793391</v>
      </c>
      <c r="F37">
        <v>3.6299999999999994</v>
      </c>
      <c r="G37">
        <v>7.5</v>
      </c>
      <c r="H37">
        <v>3.6299999999999994</v>
      </c>
      <c r="J37">
        <f t="shared" si="0"/>
        <v>0.9876804254849344</v>
      </c>
      <c r="R37">
        <v>5.74</v>
      </c>
      <c r="S37">
        <v>12.5</v>
      </c>
      <c r="T37">
        <v>7.05</v>
      </c>
      <c r="U37">
        <v>1.31</v>
      </c>
      <c r="V37">
        <v>0.532336259911938</v>
      </c>
      <c r="W37">
        <v>9.5419847328244298</v>
      </c>
    </row>
    <row r="38" spans="1:23" x14ac:dyDescent="0.35">
      <c r="A38">
        <v>5</v>
      </c>
      <c r="B38" t="s">
        <v>21</v>
      </c>
      <c r="C38">
        <v>3.76</v>
      </c>
      <c r="D38">
        <v>7.24</v>
      </c>
      <c r="E38">
        <v>2.1551724137931032</v>
      </c>
      <c r="F38">
        <v>3.4800000000000004</v>
      </c>
      <c r="G38">
        <v>7.5</v>
      </c>
      <c r="H38">
        <v>3.4800000000000004</v>
      </c>
      <c r="J38">
        <f t="shared" si="0"/>
        <v>0.92766650193775302</v>
      </c>
      <c r="R38">
        <v>5.57</v>
      </c>
      <c r="S38">
        <v>12.5</v>
      </c>
      <c r="T38">
        <v>7.32</v>
      </c>
      <c r="U38">
        <v>1.75</v>
      </c>
      <c r="V38">
        <v>0.54520392657045358</v>
      </c>
      <c r="W38">
        <v>7.1428571428571432</v>
      </c>
    </row>
    <row r="39" spans="1:23" x14ac:dyDescent="0.35">
      <c r="A39">
        <v>5</v>
      </c>
      <c r="B39" t="s">
        <v>21</v>
      </c>
      <c r="C39">
        <v>3.7</v>
      </c>
      <c r="D39">
        <v>7.68</v>
      </c>
      <c r="E39">
        <v>1.8844221105527641</v>
      </c>
      <c r="F39">
        <v>3.9799999999999995</v>
      </c>
      <c r="G39">
        <v>7.5</v>
      </c>
      <c r="H39">
        <v>3.9799999999999995</v>
      </c>
      <c r="J39">
        <f t="shared" si="0"/>
        <v>1.1255116560183176</v>
      </c>
      <c r="R39">
        <v>3.72</v>
      </c>
      <c r="S39">
        <v>7.5</v>
      </c>
      <c r="T39">
        <v>7.35</v>
      </c>
      <c r="U39">
        <v>3.629999999999999</v>
      </c>
      <c r="V39">
        <v>0.77773136990011571</v>
      </c>
      <c r="W39">
        <v>2.0661157024793391</v>
      </c>
    </row>
    <row r="40" spans="1:23" x14ac:dyDescent="0.35">
      <c r="A40">
        <v>6</v>
      </c>
      <c r="B40" t="s">
        <v>24</v>
      </c>
      <c r="C40">
        <v>2.67</v>
      </c>
      <c r="D40">
        <v>6.26</v>
      </c>
      <c r="E40">
        <v>4.3175487465181064</v>
      </c>
      <c r="F40">
        <v>3.59</v>
      </c>
      <c r="J40">
        <f t="shared" si="0"/>
        <v>0.80497167464371921</v>
      </c>
      <c r="R40">
        <v>3.76</v>
      </c>
      <c r="S40">
        <v>7.5</v>
      </c>
      <c r="T40">
        <v>7.24</v>
      </c>
      <c r="U40">
        <v>3.48</v>
      </c>
      <c r="V40">
        <v>0.74657327448067734</v>
      </c>
      <c r="W40">
        <v>2.1551724137931032</v>
      </c>
    </row>
    <row r="41" spans="1:23" x14ac:dyDescent="0.35">
      <c r="A41">
        <v>6</v>
      </c>
      <c r="B41" t="s">
        <v>24</v>
      </c>
      <c r="C41">
        <v>2.95</v>
      </c>
      <c r="D41">
        <v>6.05</v>
      </c>
      <c r="E41">
        <v>5.0000000000000009</v>
      </c>
      <c r="F41">
        <v>3.0999999999999996</v>
      </c>
      <c r="J41">
        <f t="shared" si="0"/>
        <v>0.67298253369009853</v>
      </c>
      <c r="R41">
        <v>3.7</v>
      </c>
      <c r="S41">
        <v>7.5</v>
      </c>
      <c r="T41">
        <v>7.68</v>
      </c>
      <c r="U41">
        <v>3.98</v>
      </c>
      <c r="V41">
        <v>0.86319582923055294</v>
      </c>
      <c r="W41">
        <v>1.8844221105527641</v>
      </c>
    </row>
    <row r="42" spans="1:23" x14ac:dyDescent="0.35">
      <c r="A42">
        <v>6</v>
      </c>
      <c r="B42" t="s">
        <v>24</v>
      </c>
      <c r="C42">
        <v>3.04</v>
      </c>
      <c r="D42">
        <v>5.42</v>
      </c>
      <c r="E42">
        <v>6.5126050420168067</v>
      </c>
      <c r="F42">
        <v>2.38</v>
      </c>
      <c r="J42">
        <f t="shared" si="0"/>
        <v>0.51144585983035373</v>
      </c>
      <c r="R42">
        <v>3.2</v>
      </c>
      <c r="S42">
        <v>7.5</v>
      </c>
      <c r="T42">
        <v>2.67</v>
      </c>
      <c r="U42">
        <v>-0.53000000000000025</v>
      </c>
    </row>
    <row r="43" spans="1:23" x14ac:dyDescent="0.35">
      <c r="A43">
        <v>6</v>
      </c>
      <c r="B43" t="s">
        <v>24</v>
      </c>
      <c r="C43">
        <v>6.26</v>
      </c>
      <c r="D43" t="s">
        <v>25</v>
      </c>
      <c r="E43">
        <v>16.853932584269653</v>
      </c>
      <c r="F43">
        <v>0.89000000000000057</v>
      </c>
      <c r="J43">
        <f t="shared" si="0"/>
        <v>0.14039852225996968</v>
      </c>
      <c r="R43">
        <v>3.26</v>
      </c>
      <c r="S43">
        <v>7.5</v>
      </c>
      <c r="T43">
        <v>2.95</v>
      </c>
      <c r="U43">
        <v>-0.30999999999999961</v>
      </c>
    </row>
    <row r="44" spans="1:23" x14ac:dyDescent="0.35">
      <c r="A44">
        <v>6</v>
      </c>
      <c r="B44" t="s">
        <v>24</v>
      </c>
      <c r="C44">
        <v>6.05</v>
      </c>
      <c r="D44" t="s">
        <v>26</v>
      </c>
      <c r="E44">
        <v>13.274336283185843</v>
      </c>
      <c r="F44">
        <v>1.1299999999999999</v>
      </c>
      <c r="J44">
        <f t="shared" si="0"/>
        <v>0.18140470011325607</v>
      </c>
      <c r="R44">
        <v>3.17</v>
      </c>
      <c r="S44">
        <v>7.5</v>
      </c>
      <c r="T44">
        <v>3.04</v>
      </c>
      <c r="U44">
        <v>-0.12999999999999989</v>
      </c>
    </row>
    <row r="45" spans="1:23" x14ac:dyDescent="0.35">
      <c r="A45">
        <v>6</v>
      </c>
      <c r="B45" t="s">
        <v>24</v>
      </c>
      <c r="C45">
        <v>5.42</v>
      </c>
      <c r="D45" t="s">
        <v>27</v>
      </c>
      <c r="E45">
        <v>8.7209302325581408</v>
      </c>
      <c r="F45">
        <v>1.7199999999999998</v>
      </c>
      <c r="J45">
        <f t="shared" si="0"/>
        <v>0.2915565541499392</v>
      </c>
      <c r="R45">
        <v>2.67</v>
      </c>
      <c r="S45">
        <v>15.5</v>
      </c>
      <c r="T45">
        <v>6.26</v>
      </c>
      <c r="U45">
        <v>3.59</v>
      </c>
      <c r="V45">
        <v>0.7691310490168588</v>
      </c>
      <c r="W45">
        <v>4.3175487465181064</v>
      </c>
    </row>
    <row r="46" spans="1:23" x14ac:dyDescent="0.35">
      <c r="A46">
        <v>7</v>
      </c>
      <c r="B46" t="s">
        <v>28</v>
      </c>
      <c r="C46">
        <v>3.36</v>
      </c>
      <c r="D46">
        <v>4.5599999999999996</v>
      </c>
      <c r="E46">
        <v>6.2500000000000018</v>
      </c>
      <c r="F46">
        <v>1.1999999999999997</v>
      </c>
      <c r="G46">
        <v>23</v>
      </c>
      <c r="H46">
        <v>5.2700000000000014</v>
      </c>
      <c r="J46">
        <f t="shared" si="0"/>
        <v>0.41608023909423125</v>
      </c>
      <c r="R46">
        <v>2.95</v>
      </c>
      <c r="S46">
        <v>15.5</v>
      </c>
      <c r="T46">
        <v>6.05</v>
      </c>
      <c r="U46">
        <v>3.1</v>
      </c>
      <c r="V46">
        <v>0.67965104448450686</v>
      </c>
      <c r="W46">
        <v>5.0000000000000009</v>
      </c>
    </row>
    <row r="47" spans="1:23" x14ac:dyDescent="0.35">
      <c r="A47">
        <v>7</v>
      </c>
      <c r="B47" t="s">
        <v>28</v>
      </c>
      <c r="C47">
        <v>3.37</v>
      </c>
      <c r="D47">
        <v>3.45</v>
      </c>
      <c r="E47">
        <v>93.749999999999915</v>
      </c>
      <c r="F47">
        <v>8.0000000000000071E-2</v>
      </c>
      <c r="G47">
        <v>23</v>
      </c>
      <c r="H47">
        <v>4.7600000000000007</v>
      </c>
      <c r="J47">
        <f t="shared" si="0"/>
        <v>2.6001557006643403E-2</v>
      </c>
      <c r="R47">
        <v>3.04</v>
      </c>
      <c r="S47">
        <v>15.5</v>
      </c>
      <c r="T47">
        <v>5.42</v>
      </c>
      <c r="U47">
        <v>2.38</v>
      </c>
      <c r="V47">
        <v>0.5904173508097893</v>
      </c>
      <c r="W47">
        <v>6.5126050420168067</v>
      </c>
    </row>
    <row r="48" spans="1:23" x14ac:dyDescent="0.35">
      <c r="A48">
        <v>7</v>
      </c>
      <c r="B48" t="s">
        <v>28</v>
      </c>
      <c r="C48">
        <v>3.14</v>
      </c>
      <c r="D48" t="s">
        <v>32</v>
      </c>
      <c r="E48">
        <v>7.1633237822349578</v>
      </c>
      <c r="F48">
        <v>3.9599999999999995</v>
      </c>
      <c r="J48">
        <f t="shared" si="0"/>
        <v>0.8415106936313701</v>
      </c>
      <c r="R48">
        <v>6.26</v>
      </c>
      <c r="S48">
        <v>15</v>
      </c>
      <c r="T48">
        <v>7.15</v>
      </c>
      <c r="U48">
        <v>0.89000000000000057</v>
      </c>
      <c r="V48">
        <v>0.54106800802047739</v>
      </c>
      <c r="W48">
        <v>16.85393258426965</v>
      </c>
    </row>
    <row r="49" spans="1:23" x14ac:dyDescent="0.35">
      <c r="A49">
        <v>7</v>
      </c>
      <c r="B49" t="s">
        <v>28</v>
      </c>
      <c r="C49">
        <v>4.5599999999999996</v>
      </c>
      <c r="D49" t="s">
        <v>35</v>
      </c>
      <c r="E49">
        <v>7.7881619937694708</v>
      </c>
      <c r="F49">
        <v>2.4500000000000002</v>
      </c>
      <c r="J49">
        <f t="shared" si="0"/>
        <v>0.44960956712307781</v>
      </c>
      <c r="R49">
        <v>6.05</v>
      </c>
      <c r="S49">
        <v>15</v>
      </c>
      <c r="T49">
        <v>7.18</v>
      </c>
      <c r="U49">
        <v>1.1299999999999999</v>
      </c>
      <c r="V49">
        <v>0.5328406287282651</v>
      </c>
      <c r="W49">
        <v>13.274336283185839</v>
      </c>
    </row>
    <row r="50" spans="1:23" x14ac:dyDescent="0.35">
      <c r="A50">
        <v>7</v>
      </c>
      <c r="B50" t="s">
        <v>28</v>
      </c>
      <c r="C50">
        <v>3.45</v>
      </c>
      <c r="D50" t="s">
        <v>35</v>
      </c>
      <c r="E50">
        <v>8.5910652920962196</v>
      </c>
      <c r="F50">
        <v>3.5599999999999996</v>
      </c>
      <c r="J50">
        <f t="shared" si="0"/>
        <v>0.7312909985439936</v>
      </c>
      <c r="R50">
        <v>5.42</v>
      </c>
      <c r="S50">
        <v>15</v>
      </c>
      <c r="T50">
        <v>7.14</v>
      </c>
      <c r="U50">
        <v>1.72</v>
      </c>
      <c r="V50">
        <v>0.54379366541338159</v>
      </c>
      <c r="W50">
        <v>8.7209302325581408</v>
      </c>
    </row>
    <row r="51" spans="1:23" x14ac:dyDescent="0.35">
      <c r="A51">
        <v>8</v>
      </c>
      <c r="B51" t="s">
        <v>29</v>
      </c>
      <c r="C51" t="s">
        <v>30</v>
      </c>
      <c r="D51" t="s">
        <v>31</v>
      </c>
      <c r="E51">
        <v>13.888888888888888</v>
      </c>
      <c r="F51">
        <v>1.08</v>
      </c>
      <c r="G51">
        <v>40</v>
      </c>
      <c r="H51">
        <v>4.57</v>
      </c>
      <c r="J51">
        <f t="shared" si="0"/>
        <v>0.39898875444870785</v>
      </c>
      <c r="R51">
        <v>3.36</v>
      </c>
      <c r="S51">
        <v>7.5</v>
      </c>
      <c r="T51">
        <v>3.14</v>
      </c>
      <c r="U51">
        <v>-0.21999999999999981</v>
      </c>
    </row>
    <row r="52" spans="1:23" x14ac:dyDescent="0.35">
      <c r="A52">
        <v>8</v>
      </c>
      <c r="B52" t="s">
        <v>29</v>
      </c>
      <c r="C52" t="s">
        <v>33</v>
      </c>
      <c r="D52" t="s">
        <v>34</v>
      </c>
      <c r="E52">
        <v>15.4639175257732</v>
      </c>
      <c r="F52">
        <v>0.96999999999999975</v>
      </c>
      <c r="G52">
        <v>40</v>
      </c>
      <c r="H52">
        <v>4.18</v>
      </c>
      <c r="J52">
        <f t="shared" si="0"/>
        <v>0.32255606742011089</v>
      </c>
      <c r="R52">
        <v>3.36</v>
      </c>
      <c r="S52">
        <v>7.5</v>
      </c>
      <c r="T52">
        <v>4.5599999999999996</v>
      </c>
      <c r="U52">
        <v>1.2</v>
      </c>
      <c r="V52">
        <v>0.53215963363247576</v>
      </c>
      <c r="W52">
        <v>6.2500000000000018</v>
      </c>
    </row>
    <row r="53" spans="1:23" x14ac:dyDescent="0.35">
      <c r="A53">
        <v>8</v>
      </c>
      <c r="B53" t="s">
        <v>29</v>
      </c>
      <c r="C53" t="s">
        <v>36</v>
      </c>
      <c r="D53" t="s">
        <v>37</v>
      </c>
      <c r="E53">
        <v>12.195121951219516</v>
      </c>
      <c r="F53">
        <v>1.2299999999999995</v>
      </c>
      <c r="G53">
        <v>40</v>
      </c>
      <c r="H53">
        <v>4.1399999999999997</v>
      </c>
      <c r="J53">
        <f t="shared" si="0"/>
        <v>0.40422362928266681</v>
      </c>
      <c r="R53">
        <v>3.37</v>
      </c>
      <c r="S53">
        <v>7.5</v>
      </c>
      <c r="T53">
        <v>3.45</v>
      </c>
      <c r="U53">
        <v>8.0000000000000071E-2</v>
      </c>
      <c r="V53">
        <v>0.93017813803227056</v>
      </c>
      <c r="W53">
        <v>93.749999999999915</v>
      </c>
    </row>
    <row r="54" spans="1:23" x14ac:dyDescent="0.35">
      <c r="A54">
        <v>8</v>
      </c>
      <c r="B54" t="s">
        <v>29</v>
      </c>
      <c r="C54" t="s">
        <v>31</v>
      </c>
      <c r="D54" t="s">
        <v>32</v>
      </c>
      <c r="E54">
        <v>7.1633237822349578</v>
      </c>
      <c r="F54">
        <v>3.4899999999999998</v>
      </c>
      <c r="J54">
        <f t="shared" si="0"/>
        <v>0.70478555555052491</v>
      </c>
      <c r="R54">
        <v>3.14</v>
      </c>
      <c r="S54">
        <v>25</v>
      </c>
      <c r="T54">
        <v>7.1</v>
      </c>
      <c r="U54">
        <v>3.96</v>
      </c>
      <c r="V54">
        <v>0.85777074211829685</v>
      </c>
      <c r="W54">
        <v>6.313131313131314</v>
      </c>
    </row>
    <row r="55" spans="1:23" x14ac:dyDescent="0.35">
      <c r="A55">
        <v>8</v>
      </c>
      <c r="B55" t="s">
        <v>29</v>
      </c>
      <c r="C55" t="s">
        <v>34</v>
      </c>
      <c r="D55" t="s">
        <v>35</v>
      </c>
      <c r="E55">
        <v>7.7881619937694708</v>
      </c>
      <c r="F55">
        <v>3.21</v>
      </c>
      <c r="J55">
        <f t="shared" si="0"/>
        <v>0.63547706430028728</v>
      </c>
      <c r="R55">
        <v>4.5599999999999996</v>
      </c>
      <c r="S55">
        <v>25</v>
      </c>
      <c r="T55">
        <v>7.01</v>
      </c>
      <c r="U55">
        <v>2.4500000000000002</v>
      </c>
      <c r="V55">
        <v>0.59724848431628452</v>
      </c>
      <c r="W55">
        <v>10.204081632653059</v>
      </c>
    </row>
    <row r="56" spans="1:23" x14ac:dyDescent="0.35">
      <c r="A56">
        <v>8</v>
      </c>
      <c r="B56" t="s">
        <v>29</v>
      </c>
      <c r="C56" t="s">
        <v>37</v>
      </c>
      <c r="D56" t="s">
        <v>35</v>
      </c>
      <c r="E56">
        <v>8.5910652920962196</v>
      </c>
      <c r="F56">
        <v>2.91</v>
      </c>
      <c r="J56">
        <f t="shared" si="0"/>
        <v>0.55871618870462292</v>
      </c>
      <c r="R56">
        <v>3.45</v>
      </c>
      <c r="S56">
        <v>25</v>
      </c>
      <c r="T56">
        <v>7.01</v>
      </c>
      <c r="U56">
        <v>3.56</v>
      </c>
      <c r="V56">
        <v>0.76282248755282189</v>
      </c>
      <c r="W56">
        <v>7.02247191011236</v>
      </c>
    </row>
    <row r="57" spans="1:23" x14ac:dyDescent="0.35">
      <c r="A57">
        <v>9</v>
      </c>
      <c r="B57" t="s">
        <v>38</v>
      </c>
      <c r="C57">
        <v>3.07</v>
      </c>
      <c r="D57">
        <v>5.88</v>
      </c>
      <c r="E57">
        <v>5.3380782918149468</v>
      </c>
      <c r="F57">
        <v>2.81</v>
      </c>
      <c r="G57">
        <v>20</v>
      </c>
      <c r="H57">
        <v>3.88</v>
      </c>
      <c r="J57">
        <f t="shared" si="0"/>
        <v>0.86644761766932799</v>
      </c>
      <c r="R57">
        <v>2.5299999999999998</v>
      </c>
      <c r="S57">
        <v>15</v>
      </c>
      <c r="T57">
        <v>3.61</v>
      </c>
      <c r="U57">
        <v>1.08</v>
      </c>
      <c r="V57">
        <v>0.5337497953541448</v>
      </c>
      <c r="W57">
        <v>13.888888888888889</v>
      </c>
    </row>
    <row r="58" spans="1:23" x14ac:dyDescent="0.35">
      <c r="A58">
        <v>9</v>
      </c>
      <c r="B58" t="s">
        <v>38</v>
      </c>
      <c r="C58">
        <v>3.12</v>
      </c>
      <c r="D58" t="s">
        <v>40</v>
      </c>
      <c r="E58">
        <v>5.3380782918149476</v>
      </c>
      <c r="F58">
        <v>2.8099999999999996</v>
      </c>
      <c r="G58">
        <v>20</v>
      </c>
      <c r="H58">
        <v>3.88</v>
      </c>
      <c r="J58">
        <f t="shared" si="0"/>
        <v>0.85951076973026519</v>
      </c>
      <c r="R58">
        <v>2.83</v>
      </c>
      <c r="S58">
        <v>15</v>
      </c>
      <c r="T58">
        <v>3.8</v>
      </c>
      <c r="U58">
        <v>0.96999999999999975</v>
      </c>
      <c r="V58">
        <v>0.53716285198096381</v>
      </c>
      <c r="W58">
        <v>15.4639175257732</v>
      </c>
    </row>
    <row r="59" spans="1:23" x14ac:dyDescent="0.35">
      <c r="A59">
        <v>9</v>
      </c>
      <c r="B59" t="s">
        <v>38</v>
      </c>
      <c r="C59">
        <v>3.13</v>
      </c>
      <c r="D59" t="s">
        <v>42</v>
      </c>
      <c r="E59">
        <v>4.8387096774193541</v>
      </c>
      <c r="F59">
        <v>3.1000000000000005</v>
      </c>
      <c r="G59">
        <v>20</v>
      </c>
      <c r="H59">
        <v>3.88</v>
      </c>
      <c r="J59">
        <f t="shared" si="0"/>
        <v>0.94669885903127271</v>
      </c>
      <c r="R59">
        <v>2.87</v>
      </c>
      <c r="S59">
        <v>15</v>
      </c>
      <c r="T59">
        <v>4.0999999999999996</v>
      </c>
      <c r="U59">
        <v>1.23</v>
      </c>
      <c r="V59">
        <v>0.53206361884380704</v>
      </c>
      <c r="W59">
        <v>12.195121951219519</v>
      </c>
    </row>
    <row r="60" spans="1:23" x14ac:dyDescent="0.35">
      <c r="A60">
        <v>9</v>
      </c>
      <c r="B60" t="s">
        <v>38</v>
      </c>
      <c r="C60">
        <v>5.88</v>
      </c>
      <c r="D60" t="s">
        <v>39</v>
      </c>
      <c r="E60">
        <v>2.3923444976076556</v>
      </c>
      <c r="F60">
        <v>2.09</v>
      </c>
      <c r="J60">
        <f t="shared" si="0"/>
        <v>0.34038126241157168</v>
      </c>
      <c r="R60">
        <v>3.61</v>
      </c>
      <c r="S60">
        <v>25</v>
      </c>
      <c r="T60">
        <v>7.1</v>
      </c>
      <c r="U60">
        <v>3.49</v>
      </c>
      <c r="V60">
        <v>0.74855982279210831</v>
      </c>
      <c r="W60">
        <v>7.1633237822349578</v>
      </c>
    </row>
    <row r="61" spans="1:23" x14ac:dyDescent="0.35">
      <c r="A61">
        <v>9</v>
      </c>
      <c r="B61" t="s">
        <v>38</v>
      </c>
      <c r="C61" t="s">
        <v>40</v>
      </c>
      <c r="D61" t="s">
        <v>41</v>
      </c>
      <c r="E61">
        <v>4.6728971962616814</v>
      </c>
      <c r="F61">
        <v>1.0700000000000003</v>
      </c>
      <c r="J61">
        <f t="shared" si="0"/>
        <v>0.17352248700767031</v>
      </c>
      <c r="R61">
        <v>3.8</v>
      </c>
      <c r="S61">
        <v>25</v>
      </c>
      <c r="T61">
        <v>7.01</v>
      </c>
      <c r="U61">
        <v>3.21</v>
      </c>
      <c r="V61">
        <v>0.69740354062566456</v>
      </c>
      <c r="W61">
        <v>7.7881619937694708</v>
      </c>
    </row>
    <row r="62" spans="1:23" x14ac:dyDescent="0.35">
      <c r="A62">
        <v>9</v>
      </c>
      <c r="B62" t="s">
        <v>38</v>
      </c>
      <c r="C62" t="s">
        <v>42</v>
      </c>
      <c r="D62" t="s">
        <v>35</v>
      </c>
      <c r="E62">
        <v>6.4102564102564159</v>
      </c>
      <c r="F62">
        <v>0.77999999999999936</v>
      </c>
      <c r="J62">
        <f t="shared" si="0"/>
        <v>0.12335148865521475</v>
      </c>
      <c r="R62">
        <v>4.0999999999999996</v>
      </c>
      <c r="S62">
        <v>25</v>
      </c>
      <c r="T62">
        <v>7.01</v>
      </c>
      <c r="U62">
        <v>2.91</v>
      </c>
      <c r="V62">
        <v>0.65177384021749829</v>
      </c>
      <c r="W62">
        <v>8.5910652920962196</v>
      </c>
    </row>
    <row r="63" spans="1:23" x14ac:dyDescent="0.35">
      <c r="A63">
        <v>10</v>
      </c>
      <c r="B63" t="s">
        <v>43</v>
      </c>
      <c r="C63">
        <v>3.01</v>
      </c>
      <c r="D63">
        <v>3.54</v>
      </c>
      <c r="E63">
        <v>28.301886792452816</v>
      </c>
      <c r="F63">
        <v>0.53000000000000025</v>
      </c>
      <c r="G63">
        <v>40</v>
      </c>
      <c r="H63">
        <v>5.98</v>
      </c>
      <c r="J63">
        <f t="shared" si="0"/>
        <v>0.21722322538583233</v>
      </c>
      <c r="R63">
        <v>3.07</v>
      </c>
      <c r="S63">
        <v>15</v>
      </c>
      <c r="T63">
        <v>5.88</v>
      </c>
      <c r="U63">
        <v>2.81</v>
      </c>
      <c r="V63">
        <v>0.63842508590706815</v>
      </c>
      <c r="W63">
        <v>5.3380782918149468</v>
      </c>
    </row>
    <row r="64" spans="1:23" x14ac:dyDescent="0.35">
      <c r="A64">
        <v>10</v>
      </c>
      <c r="B64" t="s">
        <v>43</v>
      </c>
      <c r="C64">
        <v>2.98</v>
      </c>
      <c r="D64">
        <v>3.57</v>
      </c>
      <c r="E64">
        <v>25.423728813559329</v>
      </c>
      <c r="F64">
        <v>0.58999999999999986</v>
      </c>
      <c r="G64">
        <v>40</v>
      </c>
      <c r="H64">
        <v>6.58</v>
      </c>
      <c r="J64">
        <f t="shared" si="0"/>
        <v>0.26773658650162419</v>
      </c>
      <c r="R64">
        <v>3.12</v>
      </c>
      <c r="S64">
        <v>15</v>
      </c>
      <c r="T64">
        <v>5.93</v>
      </c>
      <c r="U64">
        <v>2.81</v>
      </c>
      <c r="V64">
        <v>0.63842508590706804</v>
      </c>
      <c r="W64">
        <v>5.3380782918149476</v>
      </c>
    </row>
    <row r="65" spans="1:23" x14ac:dyDescent="0.35">
      <c r="A65">
        <v>10</v>
      </c>
      <c r="B65" t="s">
        <v>43</v>
      </c>
      <c r="C65">
        <v>2.66</v>
      </c>
      <c r="D65">
        <v>3.64</v>
      </c>
      <c r="E65">
        <v>15.306122448979592</v>
      </c>
      <c r="F65">
        <v>0.98</v>
      </c>
      <c r="G65">
        <v>40</v>
      </c>
      <c r="H65">
        <v>6.48</v>
      </c>
      <c r="J65">
        <f t="shared" si="0"/>
        <v>0.47276831766590333</v>
      </c>
      <c r="R65">
        <v>3.13</v>
      </c>
      <c r="S65">
        <v>15</v>
      </c>
      <c r="T65">
        <v>6.23</v>
      </c>
      <c r="U65">
        <v>3.100000000000001</v>
      </c>
      <c r="V65">
        <v>0.67965104448450686</v>
      </c>
      <c r="W65">
        <v>4.8387096774193541</v>
      </c>
    </row>
    <row r="66" spans="1:23" x14ac:dyDescent="0.35">
      <c r="A66">
        <v>10</v>
      </c>
      <c r="B66" t="s">
        <v>43</v>
      </c>
      <c r="C66">
        <v>3.54</v>
      </c>
      <c r="D66">
        <v>8.99</v>
      </c>
      <c r="E66">
        <v>4.5871559633027523</v>
      </c>
      <c r="F66">
        <v>5.45</v>
      </c>
      <c r="J66">
        <f t="shared" si="0"/>
        <v>1.1088015378677043</v>
      </c>
      <c r="R66">
        <v>5.88</v>
      </c>
      <c r="S66">
        <v>5</v>
      </c>
      <c r="T66">
        <v>7.97</v>
      </c>
      <c r="U66">
        <v>2.09</v>
      </c>
      <c r="V66">
        <v>0.56597729094863924</v>
      </c>
      <c r="W66">
        <v>2.392344497607656</v>
      </c>
    </row>
    <row r="67" spans="1:23" x14ac:dyDescent="0.35">
      <c r="A67">
        <v>10</v>
      </c>
      <c r="B67" t="s">
        <v>43</v>
      </c>
      <c r="C67">
        <v>3.57</v>
      </c>
      <c r="D67">
        <v>9.56</v>
      </c>
      <c r="E67">
        <v>4.1736227045075127</v>
      </c>
      <c r="F67">
        <v>5.99</v>
      </c>
      <c r="J67">
        <f t="shared" ref="J67:J86" si="1">(2.7208*F67)/((8.3313+(1.4243*C67))-H67)</f>
        <v>1.2147830982455272</v>
      </c>
      <c r="R67">
        <v>5.93</v>
      </c>
      <c r="S67">
        <v>5</v>
      </c>
      <c r="T67">
        <v>7</v>
      </c>
      <c r="U67">
        <v>1.07</v>
      </c>
      <c r="V67">
        <v>0.53397695651746613</v>
      </c>
      <c r="W67">
        <v>4.6728971962616814</v>
      </c>
    </row>
    <row r="68" spans="1:23" x14ac:dyDescent="0.35">
      <c r="A68">
        <v>10</v>
      </c>
      <c r="B68" t="s">
        <v>43</v>
      </c>
      <c r="C68">
        <v>3.64</v>
      </c>
      <c r="D68">
        <v>9.14</v>
      </c>
      <c r="E68">
        <v>4.5454545454545459</v>
      </c>
      <c r="F68">
        <v>5.5</v>
      </c>
      <c r="J68">
        <f t="shared" si="1"/>
        <v>1.1071821974833513</v>
      </c>
      <c r="R68">
        <v>6.23</v>
      </c>
      <c r="S68">
        <v>5</v>
      </c>
      <c r="T68">
        <v>7.01</v>
      </c>
      <c r="U68">
        <v>0.77999999999999936</v>
      </c>
      <c r="V68">
        <v>0.54887426884712232</v>
      </c>
      <c r="W68">
        <v>6.4102564102564159</v>
      </c>
    </row>
    <row r="69" spans="1:23" x14ac:dyDescent="0.35">
      <c r="A69">
        <v>11</v>
      </c>
      <c r="B69" t="s">
        <v>44</v>
      </c>
      <c r="C69">
        <v>3.69</v>
      </c>
      <c r="D69">
        <v>9.8000000000000007</v>
      </c>
      <c r="E69">
        <v>2.4549918166939437</v>
      </c>
      <c r="F69">
        <v>6.1100000000000012</v>
      </c>
      <c r="G69">
        <v>15</v>
      </c>
      <c r="H69">
        <v>6.1100000000000012</v>
      </c>
      <c r="J69">
        <f t="shared" si="1"/>
        <v>2.2233731939702293</v>
      </c>
      <c r="R69">
        <v>3.01</v>
      </c>
      <c r="S69">
        <v>15</v>
      </c>
      <c r="T69">
        <v>3.54</v>
      </c>
      <c r="U69">
        <v>0.53000000000000025</v>
      </c>
      <c r="V69">
        <v>0.58262560343318248</v>
      </c>
      <c r="W69">
        <v>28.301886792452819</v>
      </c>
    </row>
    <row r="70" spans="1:23" x14ac:dyDescent="0.35">
      <c r="A70">
        <v>11</v>
      </c>
      <c r="B70" t="s">
        <v>44</v>
      </c>
      <c r="C70">
        <v>3.58</v>
      </c>
      <c r="D70">
        <v>9.6999999999999993</v>
      </c>
      <c r="E70">
        <v>2.4509803921568629</v>
      </c>
      <c r="F70">
        <v>6.1199999999999992</v>
      </c>
      <c r="G70">
        <v>15</v>
      </c>
      <c r="H70">
        <v>6.1199999999999992</v>
      </c>
      <c r="J70">
        <f t="shared" si="1"/>
        <v>2.2777874597109222</v>
      </c>
      <c r="R70">
        <v>2.98</v>
      </c>
      <c r="S70">
        <v>15</v>
      </c>
      <c r="T70">
        <v>3.57</v>
      </c>
      <c r="U70">
        <v>0.58999999999999986</v>
      </c>
      <c r="V70">
        <v>0.57177054151753026</v>
      </c>
      <c r="W70">
        <v>25.423728813559329</v>
      </c>
    </row>
    <row r="71" spans="1:23" x14ac:dyDescent="0.35">
      <c r="A71">
        <v>11</v>
      </c>
      <c r="B71" t="s">
        <v>44</v>
      </c>
      <c r="C71">
        <v>3.23</v>
      </c>
      <c r="D71">
        <v>9.3000000000000007</v>
      </c>
      <c r="E71">
        <v>2.4711696869851729</v>
      </c>
      <c r="F71">
        <v>6.07</v>
      </c>
      <c r="G71">
        <v>15</v>
      </c>
      <c r="H71">
        <v>6.07</v>
      </c>
      <c r="J71">
        <f t="shared" si="1"/>
        <v>2.4068440460643719</v>
      </c>
      <c r="R71">
        <v>2.66</v>
      </c>
      <c r="S71">
        <v>15</v>
      </c>
      <c r="T71">
        <v>3.64</v>
      </c>
      <c r="U71">
        <v>0.98</v>
      </c>
      <c r="V71">
        <v>0.53676462874224506</v>
      </c>
      <c r="W71">
        <v>15.30612244897959</v>
      </c>
    </row>
    <row r="72" spans="1:23" x14ac:dyDescent="0.35">
      <c r="A72">
        <v>12</v>
      </c>
      <c r="B72" t="s">
        <v>45</v>
      </c>
      <c r="C72">
        <v>3.45</v>
      </c>
      <c r="D72">
        <v>6.39</v>
      </c>
      <c r="E72">
        <v>8.5034013605442187</v>
      </c>
      <c r="F72">
        <v>2.9399999999999995</v>
      </c>
      <c r="G72">
        <v>55</v>
      </c>
      <c r="H72">
        <v>4.13</v>
      </c>
      <c r="J72">
        <f t="shared" si="1"/>
        <v>0.87756813256194199</v>
      </c>
      <c r="R72">
        <v>3.54</v>
      </c>
      <c r="S72">
        <v>25</v>
      </c>
      <c r="T72">
        <v>8.99</v>
      </c>
      <c r="U72">
        <v>5.45</v>
      </c>
      <c r="V72">
        <v>1.585512422581222</v>
      </c>
      <c r="W72">
        <v>4.5871559633027523</v>
      </c>
    </row>
    <row r="73" spans="1:23" x14ac:dyDescent="0.35">
      <c r="A73">
        <v>12</v>
      </c>
      <c r="B73" t="s">
        <v>45</v>
      </c>
      <c r="C73">
        <v>3.3</v>
      </c>
      <c r="D73">
        <v>6.44</v>
      </c>
      <c r="E73">
        <v>7.9617834394904445</v>
      </c>
      <c r="F73">
        <v>3.1400000000000006</v>
      </c>
      <c r="G73">
        <v>55</v>
      </c>
      <c r="H73">
        <v>4.21</v>
      </c>
      <c r="J73">
        <f t="shared" si="1"/>
        <v>0.96846587141174578</v>
      </c>
      <c r="R73">
        <v>3.57</v>
      </c>
      <c r="S73">
        <v>25</v>
      </c>
      <c r="T73">
        <v>9.56</v>
      </c>
      <c r="U73">
        <v>5.99</v>
      </c>
      <c r="V73">
        <v>2.1946198440709841</v>
      </c>
      <c r="W73">
        <v>4.1736227045075127</v>
      </c>
    </row>
    <row r="74" spans="1:23" x14ac:dyDescent="0.35">
      <c r="A74">
        <v>12</v>
      </c>
      <c r="B74" t="s">
        <v>45</v>
      </c>
      <c r="C74">
        <v>3.27</v>
      </c>
      <c r="D74">
        <v>6.58</v>
      </c>
      <c r="E74">
        <v>7.5528700906344408</v>
      </c>
      <c r="F74">
        <v>3.31</v>
      </c>
      <c r="G74">
        <v>55</v>
      </c>
      <c r="H74">
        <v>4.24</v>
      </c>
      <c r="J74">
        <f t="shared" si="1"/>
        <v>1.0293855324199621</v>
      </c>
      <c r="R74">
        <v>3.64</v>
      </c>
      <c r="S74">
        <v>25</v>
      </c>
      <c r="T74">
        <v>9.14</v>
      </c>
      <c r="U74">
        <v>5.5</v>
      </c>
      <c r="V74">
        <v>1.6290277501251951</v>
      </c>
      <c r="W74">
        <v>4.5454545454545459</v>
      </c>
    </row>
    <row r="75" spans="1:23" x14ac:dyDescent="0.35">
      <c r="A75">
        <v>12</v>
      </c>
      <c r="B75" t="s">
        <v>45</v>
      </c>
      <c r="C75">
        <v>6.39</v>
      </c>
      <c r="D75">
        <v>6.72</v>
      </c>
      <c r="E75">
        <v>45.454545454545446</v>
      </c>
      <c r="F75">
        <v>0.33000000000000007</v>
      </c>
      <c r="J75">
        <f t="shared" si="1"/>
        <v>5.1504949612441127E-2</v>
      </c>
      <c r="R75">
        <v>3.69</v>
      </c>
      <c r="S75">
        <v>15</v>
      </c>
      <c r="T75">
        <v>9.8000000000000007</v>
      </c>
      <c r="U75">
        <v>6.1100000000000012</v>
      </c>
      <c r="V75">
        <v>2.3860842831990232</v>
      </c>
      <c r="W75">
        <v>2.4549918166939442</v>
      </c>
    </row>
    <row r="76" spans="1:23" x14ac:dyDescent="0.35">
      <c r="A76">
        <v>12</v>
      </c>
      <c r="B76" t="s">
        <v>45</v>
      </c>
      <c r="C76">
        <v>6.44</v>
      </c>
      <c r="D76">
        <v>6.66</v>
      </c>
      <c r="E76">
        <v>68.181818181818258</v>
      </c>
      <c r="F76">
        <v>0.21999999999999975</v>
      </c>
      <c r="J76">
        <f t="shared" si="1"/>
        <v>3.4196932870317436E-2</v>
      </c>
      <c r="R76">
        <v>3.58</v>
      </c>
      <c r="S76">
        <v>15</v>
      </c>
      <c r="T76">
        <v>9.6999999999999993</v>
      </c>
      <c r="U76">
        <v>6.1199999999999992</v>
      </c>
      <c r="V76">
        <v>2.403308692609186</v>
      </c>
      <c r="W76">
        <v>2.4509803921568629</v>
      </c>
    </row>
    <row r="77" spans="1:23" x14ac:dyDescent="0.35">
      <c r="A77">
        <v>12</v>
      </c>
      <c r="B77" t="s">
        <v>45</v>
      </c>
      <c r="C77">
        <v>6.58</v>
      </c>
      <c r="D77">
        <v>6.66</v>
      </c>
      <c r="E77">
        <v>187.49999999999983</v>
      </c>
      <c r="F77">
        <v>8.0000000000000071E-2</v>
      </c>
      <c r="J77">
        <f t="shared" si="1"/>
        <v>1.2295182439959714E-2</v>
      </c>
      <c r="R77">
        <v>3.23</v>
      </c>
      <c r="S77">
        <v>15</v>
      </c>
      <c r="T77">
        <v>9.3000000000000007</v>
      </c>
      <c r="U77">
        <v>6.07</v>
      </c>
      <c r="V77">
        <v>2.319223664692208</v>
      </c>
      <c r="W77">
        <v>2.4711696869851729</v>
      </c>
    </row>
    <row r="78" spans="1:23" x14ac:dyDescent="0.35">
      <c r="A78">
        <v>12</v>
      </c>
      <c r="B78" t="s">
        <v>45</v>
      </c>
      <c r="C78">
        <v>6.72</v>
      </c>
      <c r="D78">
        <v>7.58</v>
      </c>
      <c r="E78">
        <v>17.441860465116271</v>
      </c>
      <c r="F78">
        <v>0.86000000000000032</v>
      </c>
      <c r="J78">
        <f t="shared" si="1"/>
        <v>0.13070104469765173</v>
      </c>
      <c r="R78">
        <v>3.45</v>
      </c>
      <c r="S78">
        <v>25</v>
      </c>
      <c r="T78">
        <v>6.39</v>
      </c>
      <c r="U78">
        <v>2.94</v>
      </c>
      <c r="V78">
        <v>0.65595180887507287</v>
      </c>
      <c r="W78">
        <v>8.5034013605442187</v>
      </c>
    </row>
    <row r="79" spans="1:23" x14ac:dyDescent="0.35">
      <c r="A79">
        <v>12</v>
      </c>
      <c r="B79" t="s">
        <v>45</v>
      </c>
      <c r="C79">
        <v>6.66</v>
      </c>
      <c r="D79">
        <v>7.51</v>
      </c>
      <c r="E79">
        <v>17.64705882352942</v>
      </c>
      <c r="F79">
        <v>0.84999999999999964</v>
      </c>
      <c r="J79">
        <f t="shared" si="1"/>
        <v>0.12980086925296302</v>
      </c>
      <c r="R79">
        <v>3.3</v>
      </c>
      <c r="S79">
        <v>25</v>
      </c>
      <c r="T79">
        <v>6.44</v>
      </c>
      <c r="U79">
        <v>3.140000000000001</v>
      </c>
      <c r="V79">
        <v>0.68596386346259752</v>
      </c>
      <c r="W79">
        <v>7.9617834394904454</v>
      </c>
    </row>
    <row r="80" spans="1:23" x14ac:dyDescent="0.35">
      <c r="A80">
        <v>12</v>
      </c>
      <c r="B80" t="s">
        <v>45</v>
      </c>
      <c r="C80">
        <v>6.66</v>
      </c>
      <c r="D80">
        <v>7.51</v>
      </c>
      <c r="E80">
        <v>17.64705882352942</v>
      </c>
      <c r="F80">
        <v>0.84999999999999964</v>
      </c>
      <c r="J80">
        <f t="shared" si="1"/>
        <v>0.12980086925296302</v>
      </c>
      <c r="R80">
        <v>3.27</v>
      </c>
      <c r="S80">
        <v>25</v>
      </c>
      <c r="T80">
        <v>6.58</v>
      </c>
      <c r="U80">
        <v>3.31</v>
      </c>
      <c r="V80">
        <v>0.7146478436161976</v>
      </c>
      <c r="W80">
        <v>7.5528700906344408</v>
      </c>
    </row>
    <row r="81" spans="1:23" x14ac:dyDescent="0.35">
      <c r="A81">
        <v>13</v>
      </c>
      <c r="B81" t="s">
        <v>46</v>
      </c>
      <c r="C81">
        <v>2.98</v>
      </c>
      <c r="D81">
        <v>6.13</v>
      </c>
      <c r="E81">
        <v>7.9365079365079367</v>
      </c>
      <c r="F81">
        <v>3.15</v>
      </c>
      <c r="G81">
        <v>47.5</v>
      </c>
      <c r="H81">
        <v>4.33</v>
      </c>
      <c r="J81">
        <f t="shared" si="1"/>
        <v>1.0393908884057825</v>
      </c>
      <c r="R81">
        <v>6.39</v>
      </c>
      <c r="S81">
        <v>15</v>
      </c>
      <c r="T81">
        <v>6.72</v>
      </c>
      <c r="U81">
        <v>0.33000000000000013</v>
      </c>
      <c r="V81">
        <v>0.64264929772026302</v>
      </c>
      <c r="W81">
        <v>45.454545454545453</v>
      </c>
    </row>
    <row r="82" spans="1:23" x14ac:dyDescent="0.35">
      <c r="A82">
        <v>13</v>
      </c>
      <c r="B82" t="s">
        <v>46</v>
      </c>
      <c r="C82">
        <v>3.17</v>
      </c>
      <c r="D82">
        <v>5.74</v>
      </c>
      <c r="E82">
        <v>9.7276264591439681</v>
      </c>
      <c r="F82">
        <v>2.5700000000000003</v>
      </c>
      <c r="G82">
        <v>47.5</v>
      </c>
      <c r="H82">
        <v>4.76</v>
      </c>
      <c r="J82">
        <f t="shared" si="1"/>
        <v>0.86472542368102434</v>
      </c>
      <c r="R82">
        <v>6.44</v>
      </c>
      <c r="S82">
        <v>15</v>
      </c>
      <c r="T82">
        <v>6.66</v>
      </c>
      <c r="U82">
        <v>0.21999999999999981</v>
      </c>
      <c r="V82">
        <v>0.70849771659918226</v>
      </c>
      <c r="W82">
        <v>68.181818181818258</v>
      </c>
    </row>
    <row r="83" spans="1:23" x14ac:dyDescent="0.35">
      <c r="A83">
        <v>13</v>
      </c>
      <c r="B83" t="s">
        <v>46</v>
      </c>
      <c r="C83">
        <v>3.33</v>
      </c>
      <c r="D83">
        <v>7.3</v>
      </c>
      <c r="E83">
        <v>6.2972292191435768</v>
      </c>
      <c r="F83">
        <v>3.9699999999999998</v>
      </c>
      <c r="G83">
        <v>25</v>
      </c>
      <c r="H83">
        <v>3.9699999999999998</v>
      </c>
      <c r="J83">
        <f t="shared" si="1"/>
        <v>1.1864363104622151</v>
      </c>
      <c r="R83">
        <v>6.58</v>
      </c>
      <c r="S83">
        <v>15</v>
      </c>
      <c r="T83">
        <v>6.66</v>
      </c>
      <c r="U83">
        <v>8.0000000000000071E-2</v>
      </c>
      <c r="V83">
        <v>0.93017813803227056</v>
      </c>
      <c r="W83">
        <v>187.4999999999998</v>
      </c>
    </row>
    <row r="84" spans="1:23" x14ac:dyDescent="0.35">
      <c r="A84">
        <v>13</v>
      </c>
      <c r="B84" t="s">
        <v>46</v>
      </c>
      <c r="C84">
        <v>6.13</v>
      </c>
      <c r="D84">
        <v>6.47</v>
      </c>
      <c r="E84">
        <v>44.11764705882355</v>
      </c>
      <c r="F84">
        <v>0.33999999999999986</v>
      </c>
      <c r="J84">
        <f t="shared" si="1"/>
        <v>5.4217439789186167E-2</v>
      </c>
      <c r="R84">
        <v>6.72</v>
      </c>
      <c r="S84">
        <v>15</v>
      </c>
      <c r="T84">
        <v>7.58</v>
      </c>
      <c r="U84">
        <v>0.86000000000000032</v>
      </c>
      <c r="V84">
        <v>0.5428925453284571</v>
      </c>
      <c r="W84">
        <v>17.441860465116271</v>
      </c>
    </row>
    <row r="85" spans="1:23" x14ac:dyDescent="0.35">
      <c r="A85">
        <v>13</v>
      </c>
      <c r="B85" t="s">
        <v>46</v>
      </c>
      <c r="C85">
        <v>5.74</v>
      </c>
      <c r="D85">
        <v>6.45</v>
      </c>
      <c r="E85">
        <v>21.126760563380284</v>
      </c>
      <c r="F85">
        <v>0.71</v>
      </c>
      <c r="J85">
        <f t="shared" si="1"/>
        <v>0.11702874612386592</v>
      </c>
      <c r="R85">
        <v>6.66</v>
      </c>
      <c r="S85">
        <v>15</v>
      </c>
      <c r="T85">
        <v>7.51</v>
      </c>
      <c r="U85">
        <v>0.84999999999999964</v>
      </c>
      <c r="V85">
        <v>0.54354853751424859</v>
      </c>
      <c r="W85">
        <v>17.64705882352942</v>
      </c>
    </row>
    <row r="86" spans="1:23" x14ac:dyDescent="0.35">
      <c r="A86">
        <v>13</v>
      </c>
      <c r="B86" t="s">
        <v>46</v>
      </c>
      <c r="C86">
        <v>6.47</v>
      </c>
      <c r="D86">
        <v>7.31</v>
      </c>
      <c r="E86">
        <v>8.9285714285714306</v>
      </c>
      <c r="F86">
        <v>0.83999999999999986</v>
      </c>
      <c r="J86">
        <f t="shared" si="1"/>
        <v>0.13025214514033862</v>
      </c>
      <c r="R86">
        <v>6.66</v>
      </c>
      <c r="S86">
        <v>15</v>
      </c>
      <c r="T86">
        <v>7.51</v>
      </c>
      <c r="U86">
        <v>0.84999999999999964</v>
      </c>
      <c r="V86">
        <v>0.54354853751424859</v>
      </c>
      <c r="W86">
        <v>17.64705882352942</v>
      </c>
    </row>
    <row r="87" spans="1:23" x14ac:dyDescent="0.35">
      <c r="R87">
        <v>2.98</v>
      </c>
      <c r="S87">
        <v>25</v>
      </c>
      <c r="T87">
        <v>6.13</v>
      </c>
      <c r="U87">
        <v>3.15</v>
      </c>
      <c r="V87">
        <v>0.68756725052743883</v>
      </c>
      <c r="W87">
        <v>7.9365079365079367</v>
      </c>
    </row>
    <row r="88" spans="1:23" x14ac:dyDescent="0.35">
      <c r="R88">
        <v>3.17</v>
      </c>
      <c r="S88">
        <v>25</v>
      </c>
      <c r="T88">
        <v>5.74</v>
      </c>
      <c r="U88">
        <v>2.57</v>
      </c>
      <c r="V88">
        <v>0.60982772837752608</v>
      </c>
      <c r="W88">
        <v>9.7276264591439681</v>
      </c>
    </row>
    <row r="89" spans="1:23" x14ac:dyDescent="0.35">
      <c r="R89">
        <v>3.33</v>
      </c>
      <c r="S89">
        <v>25</v>
      </c>
      <c r="T89">
        <v>7.3</v>
      </c>
      <c r="U89">
        <v>3.97</v>
      </c>
      <c r="V89">
        <v>0.86047434699304581</v>
      </c>
      <c r="W89">
        <v>6.2972292191435768</v>
      </c>
    </row>
    <row r="90" spans="1:23" x14ac:dyDescent="0.35">
      <c r="R90">
        <v>6.13</v>
      </c>
      <c r="S90">
        <v>15</v>
      </c>
      <c r="T90">
        <v>6.47</v>
      </c>
      <c r="U90">
        <v>0.33999999999999991</v>
      </c>
      <c r="V90">
        <v>0.63831669626361442</v>
      </c>
      <c r="W90">
        <v>44.11764705882355</v>
      </c>
    </row>
    <row r="91" spans="1:23" x14ac:dyDescent="0.35">
      <c r="R91">
        <v>5.74</v>
      </c>
      <c r="S91">
        <v>15</v>
      </c>
      <c r="T91">
        <v>6.45</v>
      </c>
      <c r="U91">
        <v>0.71</v>
      </c>
      <c r="V91">
        <v>0.5556702462182983</v>
      </c>
      <c r="W91">
        <v>21.12676056338028</v>
      </c>
    </row>
    <row r="92" spans="1:23" x14ac:dyDescent="0.35">
      <c r="R92">
        <v>6.47</v>
      </c>
      <c r="S92">
        <v>7.5</v>
      </c>
      <c r="T92">
        <v>7.31</v>
      </c>
      <c r="U92">
        <v>0.83999999999999986</v>
      </c>
      <c r="V92">
        <v>0.54422941806247949</v>
      </c>
      <c r="W92">
        <v>8.9285714285714306</v>
      </c>
    </row>
    <row r="93" spans="1:23" x14ac:dyDescent="0.35">
      <c r="R93">
        <v>6.45</v>
      </c>
      <c r="S93">
        <v>7.5</v>
      </c>
      <c r="T93">
        <v>7.93</v>
      </c>
      <c r="U93">
        <v>1.48</v>
      </c>
      <c r="V93">
        <v>0.53520262778792482</v>
      </c>
      <c r="W93">
        <v>5.0675675675675693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35C3-99C3-48F6-AD28-F0917F5D6501}">
  <dimension ref="A1:O52"/>
  <sheetViews>
    <sheetView workbookViewId="0">
      <selection sqref="A1:O52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6</v>
      </c>
      <c r="G1" t="s">
        <v>52</v>
      </c>
      <c r="H1" t="s">
        <v>9</v>
      </c>
      <c r="I1" t="s">
        <v>53</v>
      </c>
      <c r="J1" t="s">
        <v>11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x14ac:dyDescent="0.35">
      <c r="A2">
        <v>1</v>
      </c>
      <c r="B2" t="s">
        <v>59</v>
      </c>
      <c r="C2">
        <v>1.2</v>
      </c>
      <c r="D2">
        <v>0.5</v>
      </c>
      <c r="E2">
        <v>0.7</v>
      </c>
    </row>
    <row r="3" spans="1:15" x14ac:dyDescent="0.35">
      <c r="C3">
        <v>1.2</v>
      </c>
      <c r="D3">
        <v>0.5</v>
      </c>
      <c r="E3">
        <v>0</v>
      </c>
    </row>
    <row r="4" spans="1:15" x14ac:dyDescent="0.35">
      <c r="C4">
        <v>1.2</v>
      </c>
      <c r="D4">
        <v>0.5</v>
      </c>
      <c r="E4">
        <v>0.9</v>
      </c>
    </row>
    <row r="5" spans="1:15" x14ac:dyDescent="0.35">
      <c r="C5">
        <v>1.2</v>
      </c>
      <c r="D5">
        <v>0.5</v>
      </c>
      <c r="E5">
        <v>0</v>
      </c>
    </row>
    <row r="6" spans="1:15" x14ac:dyDescent="0.35">
      <c r="C6">
        <v>1.2</v>
      </c>
      <c r="D6">
        <v>0.5</v>
      </c>
      <c r="E6">
        <v>0.5</v>
      </c>
    </row>
    <row r="7" spans="1:15" x14ac:dyDescent="0.35">
      <c r="A7">
        <v>2</v>
      </c>
      <c r="B7" t="s">
        <v>60</v>
      </c>
      <c r="C7">
        <v>5.9</v>
      </c>
      <c r="D7">
        <v>0.5</v>
      </c>
      <c r="E7">
        <v>3.2</v>
      </c>
      <c r="F7">
        <v>0.1</v>
      </c>
      <c r="G7">
        <v>3.2</v>
      </c>
      <c r="H7">
        <v>0.2</v>
      </c>
      <c r="I7">
        <v>3.2</v>
      </c>
      <c r="J7">
        <v>0.5</v>
      </c>
      <c r="K7">
        <v>2.7</v>
      </c>
      <c r="L7">
        <v>1</v>
      </c>
      <c r="M7">
        <v>1.1000000000000001</v>
      </c>
    </row>
    <row r="8" spans="1:15" x14ac:dyDescent="0.35">
      <c r="C8">
        <v>4.5999999999999996</v>
      </c>
      <c r="D8">
        <v>0.5</v>
      </c>
      <c r="E8">
        <v>2.8</v>
      </c>
      <c r="F8">
        <v>0.1</v>
      </c>
      <c r="G8">
        <v>2.1</v>
      </c>
      <c r="H8">
        <v>0.2</v>
      </c>
      <c r="I8">
        <v>2.1</v>
      </c>
      <c r="J8">
        <v>0.5</v>
      </c>
      <c r="K8">
        <v>1.4</v>
      </c>
      <c r="L8">
        <v>0.5</v>
      </c>
      <c r="M8">
        <v>1.4</v>
      </c>
      <c r="N8">
        <v>1</v>
      </c>
      <c r="O8">
        <v>0.8</v>
      </c>
    </row>
    <row r="9" spans="1:15" x14ac:dyDescent="0.35">
      <c r="C9">
        <v>5.2</v>
      </c>
      <c r="D9">
        <v>0.5</v>
      </c>
      <c r="E9">
        <v>3.7</v>
      </c>
      <c r="F9">
        <v>0.1</v>
      </c>
      <c r="G9">
        <v>2.5</v>
      </c>
      <c r="H9">
        <v>0.2</v>
      </c>
      <c r="I9">
        <v>2.5</v>
      </c>
      <c r="J9">
        <v>0.5</v>
      </c>
      <c r="K9">
        <v>2.4</v>
      </c>
      <c r="L9">
        <v>1</v>
      </c>
      <c r="M9">
        <v>1.4</v>
      </c>
      <c r="N9">
        <v>1</v>
      </c>
      <c r="O9">
        <v>0.6</v>
      </c>
    </row>
    <row r="10" spans="1:15" x14ac:dyDescent="0.35">
      <c r="C10">
        <v>2.9</v>
      </c>
      <c r="D10">
        <v>0.1</v>
      </c>
      <c r="E10">
        <v>0.1</v>
      </c>
    </row>
    <row r="11" spans="1:15" x14ac:dyDescent="0.35">
      <c r="C11">
        <v>2.5</v>
      </c>
      <c r="D11">
        <v>0.1</v>
      </c>
      <c r="E11">
        <v>0.1</v>
      </c>
    </row>
    <row r="12" spans="1:15" x14ac:dyDescent="0.35">
      <c r="A12">
        <v>3</v>
      </c>
      <c r="B12" t="s">
        <v>19</v>
      </c>
      <c r="C12">
        <v>1.1000000000000001</v>
      </c>
    </row>
    <row r="13" spans="1:15" x14ac:dyDescent="0.35">
      <c r="C13">
        <v>3</v>
      </c>
      <c r="D13">
        <v>0.5</v>
      </c>
      <c r="E13">
        <v>1.1000000000000001</v>
      </c>
    </row>
    <row r="14" spans="1:15" x14ac:dyDescent="0.35">
      <c r="C14">
        <v>3.3</v>
      </c>
      <c r="D14">
        <v>0.5</v>
      </c>
      <c r="E14">
        <v>1.8</v>
      </c>
    </row>
    <row r="15" spans="1:15" x14ac:dyDescent="0.35">
      <c r="C15">
        <v>1.8</v>
      </c>
      <c r="D15">
        <v>0.1</v>
      </c>
      <c r="E15">
        <v>0.1</v>
      </c>
    </row>
    <row r="16" spans="1:15" x14ac:dyDescent="0.35">
      <c r="C16">
        <v>1.5</v>
      </c>
      <c r="D16">
        <v>0.1</v>
      </c>
      <c r="E16">
        <v>0.9</v>
      </c>
    </row>
    <row r="17" spans="1:11" x14ac:dyDescent="0.35">
      <c r="A17">
        <v>4</v>
      </c>
      <c r="B17" t="s">
        <v>20</v>
      </c>
      <c r="C17">
        <v>11.4</v>
      </c>
      <c r="D17">
        <v>1.5</v>
      </c>
      <c r="E17">
        <v>5.3</v>
      </c>
      <c r="F17">
        <v>1</v>
      </c>
      <c r="G17">
        <v>4.0999999999999996</v>
      </c>
      <c r="H17">
        <v>1.5</v>
      </c>
      <c r="I17">
        <v>2.1</v>
      </c>
      <c r="J17">
        <v>1.5</v>
      </c>
      <c r="K17">
        <v>0.4</v>
      </c>
    </row>
    <row r="18" spans="1:11" x14ac:dyDescent="0.35">
      <c r="C18">
        <v>11.1</v>
      </c>
      <c r="D18">
        <v>1</v>
      </c>
      <c r="E18">
        <v>5.7</v>
      </c>
      <c r="F18">
        <v>0.5</v>
      </c>
      <c r="G18">
        <v>5.0999999999999996</v>
      </c>
      <c r="H18">
        <v>1.5</v>
      </c>
      <c r="I18">
        <v>3</v>
      </c>
      <c r="J18">
        <v>1.5</v>
      </c>
      <c r="K18">
        <v>0.35</v>
      </c>
    </row>
    <row r="19" spans="1:11" x14ac:dyDescent="0.35">
      <c r="C19">
        <v>7.4</v>
      </c>
      <c r="D19">
        <v>1</v>
      </c>
      <c r="E19">
        <v>4.7</v>
      </c>
      <c r="F19">
        <v>1</v>
      </c>
      <c r="G19">
        <v>2.4</v>
      </c>
      <c r="H19">
        <v>1</v>
      </c>
      <c r="I19">
        <v>1.8</v>
      </c>
      <c r="J19">
        <v>1.5</v>
      </c>
      <c r="K19">
        <v>0.2</v>
      </c>
    </row>
    <row r="20" spans="1:11" x14ac:dyDescent="0.35">
      <c r="A20">
        <v>5</v>
      </c>
      <c r="B20" t="s">
        <v>21</v>
      </c>
      <c r="C20">
        <v>6.9</v>
      </c>
      <c r="D20">
        <v>1.5</v>
      </c>
      <c r="E20">
        <v>4.2</v>
      </c>
      <c r="F20">
        <v>2</v>
      </c>
      <c r="G20">
        <v>4</v>
      </c>
      <c r="H20">
        <v>2</v>
      </c>
      <c r="I20">
        <v>2.2999999999999998</v>
      </c>
      <c r="J20">
        <v>2.5</v>
      </c>
      <c r="K20">
        <v>0.1</v>
      </c>
    </row>
    <row r="21" spans="1:11" x14ac:dyDescent="0.35">
      <c r="C21">
        <v>5.9</v>
      </c>
      <c r="D21">
        <v>1.5</v>
      </c>
      <c r="E21">
        <v>4</v>
      </c>
      <c r="F21">
        <v>2</v>
      </c>
      <c r="G21">
        <v>3.4</v>
      </c>
      <c r="H21">
        <v>2</v>
      </c>
      <c r="I21">
        <v>3.3</v>
      </c>
      <c r="J21">
        <v>2.5</v>
      </c>
      <c r="K21">
        <v>0.5</v>
      </c>
    </row>
    <row r="22" spans="1:11" x14ac:dyDescent="0.35">
      <c r="C22">
        <v>6.7</v>
      </c>
      <c r="D22">
        <v>1.5</v>
      </c>
      <c r="E22">
        <v>3.9</v>
      </c>
      <c r="F22">
        <v>2</v>
      </c>
      <c r="G22">
        <v>1.7</v>
      </c>
      <c r="H22">
        <v>1.1000000000000001</v>
      </c>
      <c r="I22">
        <v>0.8</v>
      </c>
    </row>
    <row r="23" spans="1:11" x14ac:dyDescent="0.35">
      <c r="A23">
        <v>6</v>
      </c>
      <c r="B23" t="s">
        <v>24</v>
      </c>
      <c r="C23">
        <v>10.6</v>
      </c>
      <c r="D23">
        <v>2</v>
      </c>
      <c r="E23">
        <v>3.1</v>
      </c>
      <c r="F23">
        <v>1.5</v>
      </c>
      <c r="G23">
        <v>1</v>
      </c>
    </row>
    <row r="24" spans="1:11" x14ac:dyDescent="0.35">
      <c r="C24">
        <v>9.3000000000000007</v>
      </c>
      <c r="D24">
        <v>2</v>
      </c>
      <c r="E24">
        <v>3.1</v>
      </c>
      <c r="F24">
        <v>1.5</v>
      </c>
      <c r="G24">
        <v>1</v>
      </c>
    </row>
    <row r="25" spans="1:11" x14ac:dyDescent="0.35">
      <c r="C25">
        <v>10.6</v>
      </c>
      <c r="D25">
        <v>2</v>
      </c>
      <c r="E25">
        <v>4.8</v>
      </c>
      <c r="F25">
        <v>2</v>
      </c>
      <c r="G25">
        <v>1</v>
      </c>
    </row>
    <row r="26" spans="1:11" x14ac:dyDescent="0.35">
      <c r="A26">
        <v>7</v>
      </c>
      <c r="B26" t="s">
        <v>28</v>
      </c>
      <c r="C26">
        <v>3.3</v>
      </c>
      <c r="D26">
        <v>2</v>
      </c>
      <c r="E26">
        <v>0.9</v>
      </c>
    </row>
    <row r="27" spans="1:11" x14ac:dyDescent="0.35">
      <c r="C27">
        <v>2.7</v>
      </c>
      <c r="D27">
        <v>1.5</v>
      </c>
      <c r="E27">
        <v>1</v>
      </c>
    </row>
    <row r="28" spans="1:11" x14ac:dyDescent="0.35">
      <c r="C28">
        <v>3.2</v>
      </c>
      <c r="D28">
        <v>2</v>
      </c>
      <c r="E28">
        <v>0.9</v>
      </c>
    </row>
    <row r="29" spans="1:11" x14ac:dyDescent="0.35">
      <c r="A29">
        <v>8</v>
      </c>
      <c r="B29" t="s">
        <v>61</v>
      </c>
      <c r="C29" t="s">
        <v>62</v>
      </c>
      <c r="D29">
        <v>2.5</v>
      </c>
      <c r="E29">
        <v>2</v>
      </c>
      <c r="F29" t="s">
        <v>63</v>
      </c>
      <c r="G29">
        <v>2</v>
      </c>
      <c r="H29">
        <v>1</v>
      </c>
    </row>
    <row r="30" spans="1:11" x14ac:dyDescent="0.35">
      <c r="C30" t="s">
        <v>64</v>
      </c>
      <c r="D30">
        <v>2.5</v>
      </c>
      <c r="E30">
        <v>1.5</v>
      </c>
      <c r="F30" t="s">
        <v>65</v>
      </c>
      <c r="G30">
        <v>2</v>
      </c>
      <c r="H30" t="s">
        <v>66</v>
      </c>
    </row>
    <row r="31" spans="1:11" x14ac:dyDescent="0.35">
      <c r="C31" t="s">
        <v>67</v>
      </c>
      <c r="D31">
        <v>2</v>
      </c>
      <c r="E31">
        <v>1.5</v>
      </c>
      <c r="F31" t="s">
        <v>68</v>
      </c>
      <c r="G31">
        <v>2</v>
      </c>
      <c r="H31" t="s">
        <v>69</v>
      </c>
    </row>
    <row r="32" spans="1:11" x14ac:dyDescent="0.35">
      <c r="A32">
        <v>9</v>
      </c>
      <c r="B32" t="s">
        <v>38</v>
      </c>
      <c r="C32">
        <v>4.5</v>
      </c>
      <c r="D32">
        <v>2</v>
      </c>
      <c r="E32" t="s">
        <v>66</v>
      </c>
    </row>
    <row r="33" spans="1:7" x14ac:dyDescent="0.35">
      <c r="C33">
        <v>3.6</v>
      </c>
      <c r="D33">
        <v>2</v>
      </c>
      <c r="E33" t="s">
        <v>70</v>
      </c>
    </row>
    <row r="34" spans="1:7" x14ac:dyDescent="0.35">
      <c r="C34">
        <v>4.0999999999999996</v>
      </c>
      <c r="D34">
        <v>2</v>
      </c>
      <c r="E34" t="s">
        <v>71</v>
      </c>
    </row>
    <row r="35" spans="1:7" x14ac:dyDescent="0.35">
      <c r="A35">
        <v>10</v>
      </c>
      <c r="B35" t="s">
        <v>43</v>
      </c>
      <c r="C35">
        <v>7.6</v>
      </c>
      <c r="D35">
        <v>1.9</v>
      </c>
    </row>
    <row r="36" spans="1:7" x14ac:dyDescent="0.35">
      <c r="C36">
        <v>8.5</v>
      </c>
      <c r="D36">
        <v>1.8</v>
      </c>
    </row>
    <row r="37" spans="1:7" x14ac:dyDescent="0.35">
      <c r="C37">
        <v>8.3000000000000007</v>
      </c>
      <c r="D37">
        <v>2.1</v>
      </c>
      <c r="E37">
        <v>1.5</v>
      </c>
      <c r="F37">
        <v>1.1000000000000001</v>
      </c>
    </row>
    <row r="38" spans="1:7" x14ac:dyDescent="0.35">
      <c r="A38">
        <v>11</v>
      </c>
      <c r="B38" t="s">
        <v>44</v>
      </c>
      <c r="C38">
        <v>13.7</v>
      </c>
      <c r="D38">
        <v>3</v>
      </c>
      <c r="E38">
        <v>3.2</v>
      </c>
      <c r="F38">
        <v>1.5</v>
      </c>
      <c r="G38">
        <v>1</v>
      </c>
    </row>
    <row r="39" spans="1:7" x14ac:dyDescent="0.35">
      <c r="C39">
        <v>9.9</v>
      </c>
      <c r="D39">
        <v>2</v>
      </c>
      <c r="E39">
        <v>1.3</v>
      </c>
      <c r="F39">
        <v>1.5</v>
      </c>
      <c r="G39">
        <v>0.5</v>
      </c>
    </row>
    <row r="40" spans="1:7" x14ac:dyDescent="0.35">
      <c r="C40">
        <v>16.600000000000001</v>
      </c>
      <c r="D40">
        <v>2</v>
      </c>
      <c r="E40">
        <v>1.5</v>
      </c>
      <c r="F40">
        <v>1.5</v>
      </c>
      <c r="G40">
        <v>1.1000000000000001</v>
      </c>
    </row>
    <row r="41" spans="1:7" x14ac:dyDescent="0.35">
      <c r="A41">
        <v>12</v>
      </c>
      <c r="B41" t="s">
        <v>45</v>
      </c>
      <c r="C41">
        <v>4.5</v>
      </c>
      <c r="D41">
        <v>2</v>
      </c>
      <c r="E41">
        <v>2.2000000000000002</v>
      </c>
      <c r="F41">
        <v>2</v>
      </c>
      <c r="G41">
        <v>1.4</v>
      </c>
    </row>
    <row r="42" spans="1:7" x14ac:dyDescent="0.35">
      <c r="C42">
        <v>2.7</v>
      </c>
      <c r="D42">
        <v>2</v>
      </c>
      <c r="E42">
        <v>1.4</v>
      </c>
      <c r="F42">
        <v>1.5</v>
      </c>
      <c r="G42">
        <v>1.4</v>
      </c>
    </row>
    <row r="43" spans="1:7" x14ac:dyDescent="0.35">
      <c r="C43">
        <v>4.5999999999999996</v>
      </c>
      <c r="D43">
        <v>2</v>
      </c>
      <c r="E43">
        <v>1.4</v>
      </c>
      <c r="F43">
        <v>1.5</v>
      </c>
      <c r="G43">
        <v>1.4</v>
      </c>
    </row>
    <row r="44" spans="1:7" x14ac:dyDescent="0.35">
      <c r="A44">
        <v>13</v>
      </c>
      <c r="B44" t="s">
        <v>46</v>
      </c>
      <c r="C44">
        <v>8.8000000000000007</v>
      </c>
      <c r="D44">
        <v>2.5</v>
      </c>
      <c r="E44">
        <v>4</v>
      </c>
      <c r="F44">
        <v>2</v>
      </c>
      <c r="G44">
        <v>1.2</v>
      </c>
    </row>
    <row r="45" spans="1:7" x14ac:dyDescent="0.35">
      <c r="C45">
        <v>7.8</v>
      </c>
      <c r="D45">
        <v>1.5</v>
      </c>
      <c r="E45">
        <v>3.5</v>
      </c>
      <c r="F45">
        <v>2</v>
      </c>
      <c r="G45">
        <v>1.5</v>
      </c>
    </row>
    <row r="46" spans="1:7" x14ac:dyDescent="0.35">
      <c r="C46">
        <v>1.5</v>
      </c>
      <c r="D46">
        <v>1.5</v>
      </c>
      <c r="E46">
        <v>0.2</v>
      </c>
    </row>
    <row r="47" spans="1:7" x14ac:dyDescent="0.35">
      <c r="A47">
        <v>14</v>
      </c>
      <c r="B47" t="s">
        <v>72</v>
      </c>
      <c r="C47">
        <v>7.2</v>
      </c>
      <c r="D47">
        <v>3</v>
      </c>
      <c r="E47">
        <v>2.4</v>
      </c>
      <c r="F47">
        <v>1.5</v>
      </c>
      <c r="G47">
        <v>0.2</v>
      </c>
    </row>
    <row r="48" spans="1:7" x14ac:dyDescent="0.35">
      <c r="C48">
        <v>23.2</v>
      </c>
      <c r="D48">
        <v>3</v>
      </c>
      <c r="E48">
        <v>6</v>
      </c>
      <c r="F48">
        <v>2.5</v>
      </c>
      <c r="G48">
        <v>1.7</v>
      </c>
    </row>
    <row r="49" spans="1:7" x14ac:dyDescent="0.35">
      <c r="C49">
        <v>10.8</v>
      </c>
      <c r="D49">
        <v>3</v>
      </c>
      <c r="E49">
        <v>3.6</v>
      </c>
      <c r="F49">
        <v>3</v>
      </c>
      <c r="G49">
        <v>1.4</v>
      </c>
    </row>
    <row r="50" spans="1:7" x14ac:dyDescent="0.35">
      <c r="A50">
        <v>15</v>
      </c>
      <c r="B50" t="s">
        <v>73</v>
      </c>
      <c r="C50">
        <v>3.5</v>
      </c>
      <c r="D50">
        <v>2.5</v>
      </c>
      <c r="E50">
        <v>2.2999999999999998</v>
      </c>
      <c r="F50">
        <v>2.5</v>
      </c>
      <c r="G50">
        <v>1.1000000000000001</v>
      </c>
    </row>
    <row r="51" spans="1:7" x14ac:dyDescent="0.35">
      <c r="C51">
        <v>4</v>
      </c>
      <c r="D51">
        <v>2.5</v>
      </c>
      <c r="E51">
        <v>3.1</v>
      </c>
      <c r="F51">
        <v>2.5</v>
      </c>
      <c r="G51">
        <v>1</v>
      </c>
    </row>
    <row r="52" spans="1:7" x14ac:dyDescent="0.35">
      <c r="C52">
        <v>3.1</v>
      </c>
      <c r="D52">
        <v>2.5</v>
      </c>
      <c r="E52">
        <v>2.1</v>
      </c>
      <c r="F52">
        <v>2.5</v>
      </c>
      <c r="G52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09C6-A1F9-4292-85E7-1AE32F91C9D4}">
  <dimension ref="A1:AH94"/>
  <sheetViews>
    <sheetView topLeftCell="Q1" workbookViewId="0">
      <selection activeCell="AH1" sqref="AH1:AH1048576"/>
    </sheetView>
  </sheetViews>
  <sheetFormatPr defaultRowHeight="14.5" x14ac:dyDescent="0.35"/>
  <sheetData>
    <row r="1" spans="1:34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74</v>
      </c>
      <c r="G1" t="s">
        <v>77</v>
      </c>
      <c r="P1" t="s">
        <v>0</v>
      </c>
      <c r="Q1" t="s">
        <v>1</v>
      </c>
      <c r="R1" t="s">
        <v>49</v>
      </c>
      <c r="S1" t="s">
        <v>50</v>
      </c>
      <c r="T1" t="s">
        <v>51</v>
      </c>
      <c r="U1" t="s">
        <v>6</v>
      </c>
      <c r="V1" t="s">
        <v>52</v>
      </c>
      <c r="W1" t="s">
        <v>9</v>
      </c>
      <c r="X1" t="s">
        <v>53</v>
      </c>
      <c r="Y1" t="s">
        <v>11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84</v>
      </c>
      <c r="AF1" t="s">
        <v>85</v>
      </c>
      <c r="AG1" t="s">
        <v>82</v>
      </c>
      <c r="AH1" t="s">
        <v>86</v>
      </c>
    </row>
    <row r="2" spans="1:34" x14ac:dyDescent="0.35">
      <c r="A2">
        <v>1</v>
      </c>
      <c r="B2" t="s">
        <v>59</v>
      </c>
      <c r="C2">
        <v>1.2</v>
      </c>
      <c r="D2">
        <v>0.5</v>
      </c>
      <c r="E2">
        <v>0.7</v>
      </c>
      <c r="F2">
        <f>C2-E2</f>
        <v>0.5</v>
      </c>
      <c r="G2">
        <f>D2*1000</f>
        <v>500</v>
      </c>
      <c r="P2">
        <v>1</v>
      </c>
      <c r="Q2" t="s">
        <v>59</v>
      </c>
      <c r="R2">
        <v>1.2</v>
      </c>
      <c r="S2">
        <v>0.5</v>
      </c>
      <c r="T2">
        <v>0.7</v>
      </c>
      <c r="AE2">
        <f>SUM(S2+U2+W2+Y2+AA2+AC2)</f>
        <v>0.5</v>
      </c>
      <c r="AF2">
        <f>R2-T2</f>
        <v>0.5</v>
      </c>
      <c r="AG2">
        <f>AE2/AF2</f>
        <v>1</v>
      </c>
      <c r="AH2">
        <f>AG2*1000</f>
        <v>1000</v>
      </c>
    </row>
    <row r="3" spans="1:34" x14ac:dyDescent="0.35">
      <c r="A3">
        <v>1</v>
      </c>
      <c r="B3" t="s">
        <v>59</v>
      </c>
      <c r="C3">
        <v>1.2</v>
      </c>
      <c r="D3">
        <v>0.5</v>
      </c>
      <c r="E3">
        <v>0</v>
      </c>
      <c r="F3">
        <f t="shared" ref="F3:F66" si="0">C3-E3</f>
        <v>1.2</v>
      </c>
      <c r="G3">
        <f t="shared" ref="G3:G66" si="1">D3*1000</f>
        <v>500</v>
      </c>
      <c r="R3">
        <v>1.2</v>
      </c>
      <c r="S3">
        <v>0.5</v>
      </c>
      <c r="T3">
        <v>0</v>
      </c>
      <c r="AE3">
        <f t="shared" ref="AE3:AE52" si="2">SUM(S3+U3+W3+Y3+AA3+AC3)</f>
        <v>0.5</v>
      </c>
      <c r="AF3">
        <f t="shared" ref="AF3:AF6" si="3">R3-T3</f>
        <v>1.2</v>
      </c>
      <c r="AG3">
        <f t="shared" ref="AG3:AG52" si="4">AE3/AF3</f>
        <v>0.41666666666666669</v>
      </c>
      <c r="AH3">
        <f t="shared" ref="AH3:AH52" si="5">AG3*1000</f>
        <v>416.66666666666669</v>
      </c>
    </row>
    <row r="4" spans="1:34" x14ac:dyDescent="0.35">
      <c r="A4">
        <v>1</v>
      </c>
      <c r="B4" t="s">
        <v>59</v>
      </c>
      <c r="C4">
        <v>1.2</v>
      </c>
      <c r="D4">
        <v>0.5</v>
      </c>
      <c r="E4">
        <v>0.9</v>
      </c>
      <c r="F4">
        <f t="shared" si="0"/>
        <v>0.29999999999999993</v>
      </c>
      <c r="G4">
        <f t="shared" si="1"/>
        <v>500</v>
      </c>
      <c r="R4">
        <v>1.2</v>
      </c>
      <c r="S4">
        <v>0.5</v>
      </c>
      <c r="T4">
        <v>0.9</v>
      </c>
      <c r="AE4">
        <f t="shared" si="2"/>
        <v>0.5</v>
      </c>
      <c r="AF4">
        <f t="shared" si="3"/>
        <v>0.29999999999999993</v>
      </c>
      <c r="AG4">
        <f t="shared" si="4"/>
        <v>1.666666666666667</v>
      </c>
      <c r="AH4">
        <f t="shared" si="5"/>
        <v>1666.666666666667</v>
      </c>
    </row>
    <row r="5" spans="1:34" x14ac:dyDescent="0.35">
      <c r="A5">
        <v>1</v>
      </c>
      <c r="B5" t="s">
        <v>59</v>
      </c>
      <c r="C5">
        <v>1.2</v>
      </c>
      <c r="D5">
        <v>0.5</v>
      </c>
      <c r="E5">
        <v>0</v>
      </c>
      <c r="F5">
        <f t="shared" si="0"/>
        <v>1.2</v>
      </c>
      <c r="G5">
        <f t="shared" si="1"/>
        <v>500</v>
      </c>
      <c r="R5">
        <v>1.2</v>
      </c>
      <c r="S5">
        <v>0.5</v>
      </c>
      <c r="T5">
        <v>0</v>
      </c>
      <c r="AE5">
        <f t="shared" si="2"/>
        <v>0.5</v>
      </c>
      <c r="AF5">
        <f t="shared" si="3"/>
        <v>1.2</v>
      </c>
      <c r="AG5">
        <f t="shared" si="4"/>
        <v>0.41666666666666669</v>
      </c>
      <c r="AH5">
        <f t="shared" si="5"/>
        <v>416.66666666666669</v>
      </c>
    </row>
    <row r="6" spans="1:34" x14ac:dyDescent="0.35">
      <c r="A6">
        <v>1</v>
      </c>
      <c r="B6" t="s">
        <v>59</v>
      </c>
      <c r="C6">
        <v>1.2</v>
      </c>
      <c r="D6">
        <v>0.5</v>
      </c>
      <c r="E6">
        <v>0.5</v>
      </c>
      <c r="F6">
        <f t="shared" si="0"/>
        <v>0.7</v>
      </c>
      <c r="G6">
        <f t="shared" si="1"/>
        <v>500</v>
      </c>
      <c r="R6">
        <v>1.2</v>
      </c>
      <c r="S6">
        <v>0.5</v>
      </c>
      <c r="T6">
        <v>0.5</v>
      </c>
      <c r="AE6">
        <f t="shared" si="2"/>
        <v>0.5</v>
      </c>
      <c r="AF6">
        <f t="shared" si="3"/>
        <v>0.7</v>
      </c>
      <c r="AG6">
        <f t="shared" si="4"/>
        <v>0.7142857142857143</v>
      </c>
      <c r="AH6">
        <f t="shared" si="5"/>
        <v>714.28571428571433</v>
      </c>
    </row>
    <row r="7" spans="1:34" x14ac:dyDescent="0.35">
      <c r="A7">
        <v>2</v>
      </c>
      <c r="B7" t="s">
        <v>60</v>
      </c>
      <c r="C7">
        <v>5.9</v>
      </c>
      <c r="D7">
        <v>0.5</v>
      </c>
      <c r="E7">
        <v>3.2</v>
      </c>
      <c r="F7">
        <f t="shared" si="0"/>
        <v>2.7</v>
      </c>
      <c r="G7">
        <f t="shared" si="1"/>
        <v>500</v>
      </c>
      <c r="P7">
        <v>2</v>
      </c>
      <c r="Q7" t="s">
        <v>60</v>
      </c>
      <c r="R7">
        <v>5.9</v>
      </c>
      <c r="S7">
        <v>0.5</v>
      </c>
      <c r="T7">
        <v>3.2</v>
      </c>
      <c r="U7">
        <v>0.1</v>
      </c>
      <c r="V7">
        <v>3.2</v>
      </c>
      <c r="W7">
        <v>0.2</v>
      </c>
      <c r="X7">
        <v>3.2</v>
      </c>
      <c r="Y7">
        <v>0.5</v>
      </c>
      <c r="Z7">
        <v>2.7</v>
      </c>
      <c r="AA7">
        <v>1</v>
      </c>
      <c r="AB7">
        <v>1.1000000000000001</v>
      </c>
      <c r="AE7">
        <f t="shared" si="2"/>
        <v>2.2999999999999998</v>
      </c>
      <c r="AF7">
        <f>R7-AB7</f>
        <v>4.8000000000000007</v>
      </c>
      <c r="AG7">
        <f t="shared" si="4"/>
        <v>0.47916666666666657</v>
      </c>
      <c r="AH7">
        <f t="shared" si="5"/>
        <v>479.16666666666657</v>
      </c>
    </row>
    <row r="8" spans="1:34" x14ac:dyDescent="0.35">
      <c r="A8">
        <v>2</v>
      </c>
      <c r="B8" t="s">
        <v>60</v>
      </c>
      <c r="C8">
        <v>4.5999999999999996</v>
      </c>
      <c r="D8">
        <v>0.5</v>
      </c>
      <c r="E8">
        <v>2.8</v>
      </c>
      <c r="F8">
        <f t="shared" si="0"/>
        <v>1.7999999999999998</v>
      </c>
      <c r="G8">
        <f t="shared" si="1"/>
        <v>500</v>
      </c>
      <c r="R8">
        <v>4.5999999999999996</v>
      </c>
      <c r="S8">
        <v>0.5</v>
      </c>
      <c r="T8">
        <v>2.8</v>
      </c>
      <c r="U8">
        <v>0.1</v>
      </c>
      <c r="V8">
        <v>2.1</v>
      </c>
      <c r="W8">
        <v>0.2</v>
      </c>
      <c r="X8">
        <v>2.1</v>
      </c>
      <c r="Y8">
        <v>0.5</v>
      </c>
      <c r="Z8">
        <v>1.4</v>
      </c>
      <c r="AA8">
        <v>0.5</v>
      </c>
      <c r="AB8">
        <v>1.4</v>
      </c>
      <c r="AC8">
        <v>1</v>
      </c>
      <c r="AD8">
        <v>0.8</v>
      </c>
      <c r="AE8">
        <f t="shared" si="2"/>
        <v>2.8</v>
      </c>
      <c r="AF8">
        <f>R8-AD8</f>
        <v>3.8</v>
      </c>
      <c r="AG8">
        <f t="shared" si="4"/>
        <v>0.73684210526315785</v>
      </c>
      <c r="AH8">
        <f t="shared" si="5"/>
        <v>736.8421052631578</v>
      </c>
    </row>
    <row r="9" spans="1:34" x14ac:dyDescent="0.35">
      <c r="A9">
        <v>2</v>
      </c>
      <c r="B9" t="s">
        <v>60</v>
      </c>
      <c r="C9">
        <v>5.2</v>
      </c>
      <c r="D9">
        <v>0.5</v>
      </c>
      <c r="E9">
        <v>3.7</v>
      </c>
      <c r="F9">
        <f t="shared" si="0"/>
        <v>1.5</v>
      </c>
      <c r="G9">
        <f t="shared" si="1"/>
        <v>500</v>
      </c>
      <c r="R9">
        <v>5.2</v>
      </c>
      <c r="S9">
        <v>0.5</v>
      </c>
      <c r="T9">
        <v>3.7</v>
      </c>
      <c r="U9">
        <v>0.1</v>
      </c>
      <c r="V9">
        <v>2.5</v>
      </c>
      <c r="W9">
        <v>0.2</v>
      </c>
      <c r="X9">
        <v>2.5</v>
      </c>
      <c r="Y9">
        <v>0.5</v>
      </c>
      <c r="Z9">
        <v>2.4</v>
      </c>
      <c r="AA9">
        <v>1</v>
      </c>
      <c r="AB9">
        <v>1.4</v>
      </c>
      <c r="AC9">
        <v>1</v>
      </c>
      <c r="AD9">
        <v>0.6</v>
      </c>
      <c r="AE9">
        <f t="shared" si="2"/>
        <v>3.3</v>
      </c>
      <c r="AF9">
        <f>R9-AD9</f>
        <v>4.6000000000000005</v>
      </c>
      <c r="AG9">
        <f t="shared" si="4"/>
        <v>0.71739130434782594</v>
      </c>
      <c r="AH9">
        <f t="shared" si="5"/>
        <v>717.39130434782589</v>
      </c>
    </row>
    <row r="10" spans="1:34" x14ac:dyDescent="0.35">
      <c r="A10">
        <v>2</v>
      </c>
      <c r="B10" t="s">
        <v>60</v>
      </c>
      <c r="C10">
        <v>2.9</v>
      </c>
      <c r="D10">
        <v>0.1</v>
      </c>
      <c r="E10">
        <v>0.1</v>
      </c>
      <c r="F10">
        <f t="shared" si="0"/>
        <v>2.8</v>
      </c>
      <c r="G10">
        <f t="shared" si="1"/>
        <v>100</v>
      </c>
      <c r="R10">
        <v>2.9</v>
      </c>
      <c r="S10">
        <v>0.1</v>
      </c>
      <c r="T10">
        <v>0.1</v>
      </c>
      <c r="AE10">
        <f t="shared" si="2"/>
        <v>0.1</v>
      </c>
      <c r="AF10">
        <f>R10-T10</f>
        <v>2.8</v>
      </c>
      <c r="AG10">
        <f t="shared" si="4"/>
        <v>3.5714285714285719E-2</v>
      </c>
      <c r="AH10">
        <f t="shared" si="5"/>
        <v>35.714285714285722</v>
      </c>
    </row>
    <row r="11" spans="1:34" x14ac:dyDescent="0.35">
      <c r="A11">
        <v>2</v>
      </c>
      <c r="B11" t="s">
        <v>60</v>
      </c>
      <c r="C11">
        <v>2.5</v>
      </c>
      <c r="D11">
        <v>0.1</v>
      </c>
      <c r="E11">
        <v>0.1</v>
      </c>
      <c r="F11">
        <f t="shared" si="0"/>
        <v>2.4</v>
      </c>
      <c r="G11">
        <f t="shared" si="1"/>
        <v>100</v>
      </c>
      <c r="R11">
        <v>2.5</v>
      </c>
      <c r="S11">
        <v>0.1</v>
      </c>
      <c r="T11">
        <v>0.1</v>
      </c>
      <c r="AE11">
        <f t="shared" si="2"/>
        <v>0.1</v>
      </c>
      <c r="AF11">
        <f>-R11-T11</f>
        <v>-2.6</v>
      </c>
      <c r="AG11">
        <f t="shared" si="4"/>
        <v>-3.8461538461538464E-2</v>
      </c>
      <c r="AH11">
        <f t="shared" si="5"/>
        <v>-38.461538461538467</v>
      </c>
    </row>
    <row r="12" spans="1:34" x14ac:dyDescent="0.35">
      <c r="A12">
        <v>2</v>
      </c>
      <c r="B12" t="s">
        <v>60</v>
      </c>
      <c r="C12">
        <v>3.2</v>
      </c>
      <c r="D12">
        <v>0.1</v>
      </c>
      <c r="E12">
        <v>3.2</v>
      </c>
      <c r="F12">
        <f t="shared" si="0"/>
        <v>0</v>
      </c>
      <c r="G12">
        <f t="shared" si="1"/>
        <v>100</v>
      </c>
      <c r="P12">
        <v>3</v>
      </c>
      <c r="Q12" t="s">
        <v>19</v>
      </c>
      <c r="R12">
        <v>1.1000000000000001</v>
      </c>
      <c r="AE12">
        <f t="shared" si="2"/>
        <v>0</v>
      </c>
      <c r="AF12" t="s">
        <v>17</v>
      </c>
      <c r="AG12" t="s">
        <v>17</v>
      </c>
      <c r="AH12" t="s">
        <v>17</v>
      </c>
    </row>
    <row r="13" spans="1:34" x14ac:dyDescent="0.35">
      <c r="A13">
        <v>2</v>
      </c>
      <c r="B13" t="s">
        <v>60</v>
      </c>
      <c r="C13">
        <v>2.8</v>
      </c>
      <c r="D13">
        <v>0.1</v>
      </c>
      <c r="E13">
        <v>2.1</v>
      </c>
      <c r="F13">
        <f t="shared" si="0"/>
        <v>0.69999999999999973</v>
      </c>
      <c r="G13">
        <f t="shared" si="1"/>
        <v>100</v>
      </c>
      <c r="R13">
        <v>3</v>
      </c>
      <c r="S13">
        <v>0.5</v>
      </c>
      <c r="T13">
        <v>1.1000000000000001</v>
      </c>
      <c r="AE13">
        <f t="shared" si="2"/>
        <v>0.5</v>
      </c>
      <c r="AF13">
        <f>R13-T13</f>
        <v>1.9</v>
      </c>
      <c r="AG13">
        <f t="shared" si="4"/>
        <v>0.26315789473684209</v>
      </c>
      <c r="AH13">
        <f t="shared" si="5"/>
        <v>263.15789473684208</v>
      </c>
    </row>
    <row r="14" spans="1:34" x14ac:dyDescent="0.35">
      <c r="A14">
        <v>2</v>
      </c>
      <c r="B14" t="s">
        <v>60</v>
      </c>
      <c r="C14">
        <v>3.7</v>
      </c>
      <c r="D14">
        <v>0.1</v>
      </c>
      <c r="E14">
        <v>2.5</v>
      </c>
      <c r="F14">
        <f t="shared" si="0"/>
        <v>1.2000000000000002</v>
      </c>
      <c r="G14">
        <f t="shared" si="1"/>
        <v>100</v>
      </c>
      <c r="R14">
        <v>3.3</v>
      </c>
      <c r="S14">
        <v>0.5</v>
      </c>
      <c r="T14">
        <v>1.8</v>
      </c>
      <c r="AE14">
        <f t="shared" si="2"/>
        <v>0.5</v>
      </c>
      <c r="AF14">
        <f t="shared" ref="AF14:AF16" si="6">R14-T14</f>
        <v>1.4999999999999998</v>
      </c>
      <c r="AG14">
        <f t="shared" si="4"/>
        <v>0.33333333333333337</v>
      </c>
      <c r="AH14">
        <f t="shared" si="5"/>
        <v>333.33333333333337</v>
      </c>
    </row>
    <row r="15" spans="1:34" x14ac:dyDescent="0.35">
      <c r="A15">
        <v>2</v>
      </c>
      <c r="B15" t="s">
        <v>60</v>
      </c>
      <c r="C15">
        <v>3.2</v>
      </c>
      <c r="D15">
        <v>0.2</v>
      </c>
      <c r="E15">
        <v>3.2</v>
      </c>
      <c r="F15">
        <f t="shared" si="0"/>
        <v>0</v>
      </c>
      <c r="G15">
        <f t="shared" si="1"/>
        <v>200</v>
      </c>
      <c r="R15">
        <v>1.8</v>
      </c>
      <c r="S15">
        <v>0.1</v>
      </c>
      <c r="T15">
        <v>0.1</v>
      </c>
      <c r="AE15">
        <f t="shared" si="2"/>
        <v>0.1</v>
      </c>
      <c r="AF15">
        <f t="shared" si="6"/>
        <v>1.7</v>
      </c>
      <c r="AG15">
        <f t="shared" si="4"/>
        <v>5.8823529411764712E-2</v>
      </c>
      <c r="AH15">
        <f t="shared" si="5"/>
        <v>58.82352941176471</v>
      </c>
    </row>
    <row r="16" spans="1:34" x14ac:dyDescent="0.35">
      <c r="A16">
        <v>2</v>
      </c>
      <c r="B16" t="s">
        <v>60</v>
      </c>
      <c r="C16">
        <v>2.1</v>
      </c>
      <c r="D16">
        <v>0.2</v>
      </c>
      <c r="E16">
        <v>2.1</v>
      </c>
      <c r="F16">
        <f t="shared" si="0"/>
        <v>0</v>
      </c>
      <c r="G16">
        <f t="shared" si="1"/>
        <v>200</v>
      </c>
      <c r="R16">
        <v>1.5</v>
      </c>
      <c r="S16">
        <v>0.1</v>
      </c>
      <c r="T16">
        <v>0.9</v>
      </c>
      <c r="AE16">
        <f t="shared" si="2"/>
        <v>0.1</v>
      </c>
      <c r="AF16">
        <f t="shared" si="6"/>
        <v>0.6</v>
      </c>
      <c r="AG16">
        <f t="shared" si="4"/>
        <v>0.16666666666666669</v>
      </c>
      <c r="AH16">
        <f t="shared" si="5"/>
        <v>166.66666666666669</v>
      </c>
    </row>
    <row r="17" spans="1:34" x14ac:dyDescent="0.35">
      <c r="A17">
        <v>2</v>
      </c>
      <c r="B17" t="s">
        <v>60</v>
      </c>
      <c r="C17">
        <v>2.5</v>
      </c>
      <c r="D17">
        <v>0.2</v>
      </c>
      <c r="E17">
        <v>2.5</v>
      </c>
      <c r="F17">
        <f t="shared" si="0"/>
        <v>0</v>
      </c>
      <c r="G17">
        <f t="shared" si="1"/>
        <v>200</v>
      </c>
      <c r="P17">
        <v>4</v>
      </c>
      <c r="Q17" t="s">
        <v>20</v>
      </c>
      <c r="R17">
        <v>11.4</v>
      </c>
      <c r="S17">
        <v>1.5</v>
      </c>
      <c r="T17">
        <v>5.3</v>
      </c>
      <c r="U17">
        <v>1</v>
      </c>
      <c r="V17">
        <v>4.0999999999999996</v>
      </c>
      <c r="W17">
        <v>1.5</v>
      </c>
      <c r="X17">
        <v>2.1</v>
      </c>
      <c r="Y17">
        <v>1.5</v>
      </c>
      <c r="Z17">
        <v>0.4</v>
      </c>
      <c r="AE17">
        <f t="shared" si="2"/>
        <v>5.5</v>
      </c>
      <c r="AF17">
        <f>R17-Z17</f>
        <v>11</v>
      </c>
      <c r="AG17">
        <f t="shared" si="4"/>
        <v>0.5</v>
      </c>
      <c r="AH17">
        <f t="shared" si="5"/>
        <v>500</v>
      </c>
    </row>
    <row r="18" spans="1:34" x14ac:dyDescent="0.35">
      <c r="A18">
        <v>2</v>
      </c>
      <c r="B18" t="s">
        <v>60</v>
      </c>
      <c r="C18">
        <v>3.2</v>
      </c>
      <c r="D18">
        <v>0.5</v>
      </c>
      <c r="E18">
        <v>2.7</v>
      </c>
      <c r="F18">
        <f t="shared" si="0"/>
        <v>0.5</v>
      </c>
      <c r="G18">
        <f t="shared" si="1"/>
        <v>500</v>
      </c>
      <c r="R18">
        <v>11.1</v>
      </c>
      <c r="S18">
        <v>1</v>
      </c>
      <c r="T18">
        <v>5.7</v>
      </c>
      <c r="U18">
        <v>0.5</v>
      </c>
      <c r="V18">
        <v>5.0999999999999996</v>
      </c>
      <c r="W18">
        <v>1.5</v>
      </c>
      <c r="X18">
        <v>3</v>
      </c>
      <c r="Y18">
        <v>1.5</v>
      </c>
      <c r="Z18">
        <v>0.35</v>
      </c>
      <c r="AE18">
        <f t="shared" si="2"/>
        <v>4.5</v>
      </c>
      <c r="AF18">
        <f t="shared" ref="AF18:AF19" si="7">R18-Z18</f>
        <v>10.75</v>
      </c>
      <c r="AG18">
        <f t="shared" si="4"/>
        <v>0.41860465116279072</v>
      </c>
      <c r="AH18">
        <f t="shared" si="5"/>
        <v>418.60465116279073</v>
      </c>
    </row>
    <row r="19" spans="1:34" x14ac:dyDescent="0.35">
      <c r="A19">
        <v>2</v>
      </c>
      <c r="B19" t="s">
        <v>60</v>
      </c>
      <c r="C19">
        <v>2.1</v>
      </c>
      <c r="D19">
        <v>0.5</v>
      </c>
      <c r="E19">
        <v>1.4</v>
      </c>
      <c r="F19">
        <f t="shared" si="0"/>
        <v>0.70000000000000018</v>
      </c>
      <c r="G19">
        <f t="shared" si="1"/>
        <v>500</v>
      </c>
      <c r="R19">
        <v>7.4</v>
      </c>
      <c r="S19">
        <v>1</v>
      </c>
      <c r="T19">
        <v>4.7</v>
      </c>
      <c r="U19">
        <v>1</v>
      </c>
      <c r="V19">
        <v>2.4</v>
      </c>
      <c r="W19">
        <v>1</v>
      </c>
      <c r="X19">
        <v>1.8</v>
      </c>
      <c r="Y19">
        <v>1.5</v>
      </c>
      <c r="Z19">
        <v>0.2</v>
      </c>
      <c r="AE19">
        <f t="shared" si="2"/>
        <v>4.5</v>
      </c>
      <c r="AF19">
        <f t="shared" si="7"/>
        <v>7.2</v>
      </c>
      <c r="AG19">
        <f t="shared" si="4"/>
        <v>0.625</v>
      </c>
      <c r="AH19">
        <f t="shared" si="5"/>
        <v>625</v>
      </c>
    </row>
    <row r="20" spans="1:34" x14ac:dyDescent="0.35">
      <c r="A20">
        <v>2</v>
      </c>
      <c r="B20" t="s">
        <v>60</v>
      </c>
      <c r="C20">
        <v>2.5</v>
      </c>
      <c r="D20">
        <v>0.5</v>
      </c>
      <c r="E20">
        <v>2.4</v>
      </c>
      <c r="F20">
        <f t="shared" si="0"/>
        <v>0.10000000000000009</v>
      </c>
      <c r="G20">
        <f t="shared" si="1"/>
        <v>500</v>
      </c>
      <c r="P20">
        <v>5</v>
      </c>
      <c r="Q20" t="s">
        <v>21</v>
      </c>
      <c r="R20">
        <v>6.9</v>
      </c>
      <c r="S20">
        <v>1.5</v>
      </c>
      <c r="T20">
        <v>4.2</v>
      </c>
      <c r="U20">
        <v>2</v>
      </c>
      <c r="V20">
        <v>4</v>
      </c>
      <c r="W20">
        <v>2</v>
      </c>
      <c r="X20">
        <v>2.2999999999999998</v>
      </c>
      <c r="Y20">
        <v>2.5</v>
      </c>
      <c r="Z20">
        <v>0.1</v>
      </c>
      <c r="AE20">
        <f t="shared" si="2"/>
        <v>8</v>
      </c>
      <c r="AF20">
        <f>R20-Z20</f>
        <v>6.8000000000000007</v>
      </c>
      <c r="AG20">
        <f t="shared" si="4"/>
        <v>1.1764705882352939</v>
      </c>
      <c r="AH20">
        <f t="shared" si="5"/>
        <v>1176.4705882352939</v>
      </c>
    </row>
    <row r="21" spans="1:34" x14ac:dyDescent="0.35">
      <c r="A21">
        <v>2</v>
      </c>
      <c r="B21" t="s">
        <v>60</v>
      </c>
      <c r="C21">
        <v>2.7</v>
      </c>
      <c r="D21">
        <v>1</v>
      </c>
      <c r="E21">
        <v>1.1000000000000001</v>
      </c>
      <c r="F21">
        <f t="shared" si="0"/>
        <v>1.6</v>
      </c>
      <c r="G21">
        <f t="shared" si="1"/>
        <v>1000</v>
      </c>
      <c r="R21">
        <v>5.9</v>
      </c>
      <c r="S21">
        <v>1.5</v>
      </c>
      <c r="T21">
        <v>4</v>
      </c>
      <c r="U21">
        <v>2</v>
      </c>
      <c r="V21">
        <v>3.4</v>
      </c>
      <c r="W21">
        <v>2</v>
      </c>
      <c r="X21">
        <v>3.3</v>
      </c>
      <c r="Y21">
        <v>2.5</v>
      </c>
      <c r="Z21">
        <v>0.5</v>
      </c>
      <c r="AE21">
        <f t="shared" si="2"/>
        <v>8</v>
      </c>
      <c r="AF21">
        <f>R21-Z21</f>
        <v>5.4</v>
      </c>
      <c r="AG21">
        <f t="shared" si="4"/>
        <v>1.4814814814814814</v>
      </c>
      <c r="AH21">
        <f t="shared" si="5"/>
        <v>1481.4814814814813</v>
      </c>
    </row>
    <row r="22" spans="1:34" x14ac:dyDescent="0.35">
      <c r="A22">
        <v>2</v>
      </c>
      <c r="B22" t="s">
        <v>60</v>
      </c>
      <c r="C22">
        <v>1.4</v>
      </c>
      <c r="D22">
        <v>0.5</v>
      </c>
      <c r="E22">
        <v>1.4</v>
      </c>
      <c r="F22">
        <f t="shared" si="0"/>
        <v>0</v>
      </c>
      <c r="G22">
        <f t="shared" si="1"/>
        <v>500</v>
      </c>
      <c r="R22">
        <v>6.7</v>
      </c>
      <c r="S22">
        <v>1.5</v>
      </c>
      <c r="T22">
        <v>3.9</v>
      </c>
      <c r="U22">
        <v>2</v>
      </c>
      <c r="V22">
        <v>1.7</v>
      </c>
      <c r="W22">
        <v>1.1000000000000001</v>
      </c>
      <c r="X22">
        <v>0.8</v>
      </c>
      <c r="AE22">
        <f t="shared" si="2"/>
        <v>4.5999999999999996</v>
      </c>
      <c r="AF22">
        <f>R21-Z21</f>
        <v>5.4</v>
      </c>
      <c r="AG22">
        <f t="shared" si="4"/>
        <v>0.85185185185185175</v>
      </c>
      <c r="AH22">
        <f t="shared" si="5"/>
        <v>851.85185185185173</v>
      </c>
    </row>
    <row r="23" spans="1:34" x14ac:dyDescent="0.35">
      <c r="A23">
        <v>2</v>
      </c>
      <c r="B23" t="s">
        <v>60</v>
      </c>
      <c r="C23">
        <v>2.4</v>
      </c>
      <c r="D23">
        <v>1</v>
      </c>
      <c r="E23">
        <v>1.4</v>
      </c>
      <c r="F23">
        <f t="shared" si="0"/>
        <v>1</v>
      </c>
      <c r="G23">
        <f t="shared" si="1"/>
        <v>1000</v>
      </c>
      <c r="P23">
        <v>6</v>
      </c>
      <c r="Q23" t="s">
        <v>24</v>
      </c>
      <c r="R23">
        <v>10.6</v>
      </c>
      <c r="S23">
        <v>2</v>
      </c>
      <c r="T23">
        <v>3.1</v>
      </c>
      <c r="U23">
        <v>1.5</v>
      </c>
      <c r="V23">
        <v>1</v>
      </c>
      <c r="AE23">
        <f t="shared" si="2"/>
        <v>3.5</v>
      </c>
      <c r="AF23">
        <f>R22-X22</f>
        <v>5.9</v>
      </c>
      <c r="AG23">
        <f t="shared" si="4"/>
        <v>0.59322033898305082</v>
      </c>
      <c r="AH23">
        <f t="shared" si="5"/>
        <v>593.22033898305085</v>
      </c>
    </row>
    <row r="24" spans="1:34" x14ac:dyDescent="0.35">
      <c r="A24">
        <v>2</v>
      </c>
      <c r="B24" t="s">
        <v>60</v>
      </c>
      <c r="C24">
        <v>1.4</v>
      </c>
      <c r="D24">
        <v>1</v>
      </c>
      <c r="E24">
        <v>0.8</v>
      </c>
      <c r="F24">
        <f t="shared" si="0"/>
        <v>0.59999999999999987</v>
      </c>
      <c r="G24">
        <f t="shared" si="1"/>
        <v>1000</v>
      </c>
      <c r="R24">
        <v>9.3000000000000007</v>
      </c>
      <c r="S24">
        <v>2</v>
      </c>
      <c r="T24">
        <v>3.1</v>
      </c>
      <c r="U24">
        <v>1.5</v>
      </c>
      <c r="V24">
        <v>1</v>
      </c>
      <c r="AE24">
        <f t="shared" si="2"/>
        <v>3.5</v>
      </c>
      <c r="AF24">
        <f>R23-V23</f>
        <v>9.6</v>
      </c>
      <c r="AG24">
        <f t="shared" si="4"/>
        <v>0.36458333333333337</v>
      </c>
      <c r="AH24">
        <f t="shared" si="5"/>
        <v>364.58333333333337</v>
      </c>
    </row>
    <row r="25" spans="1:34" x14ac:dyDescent="0.35">
      <c r="A25">
        <v>2</v>
      </c>
      <c r="B25" t="s">
        <v>60</v>
      </c>
      <c r="C25">
        <v>1.4</v>
      </c>
      <c r="D25">
        <v>1</v>
      </c>
      <c r="E25">
        <v>0.6</v>
      </c>
      <c r="F25">
        <f t="shared" si="0"/>
        <v>0.79999999999999993</v>
      </c>
      <c r="G25">
        <f t="shared" si="1"/>
        <v>1000</v>
      </c>
      <c r="R25">
        <v>10.6</v>
      </c>
      <c r="S25">
        <v>2</v>
      </c>
      <c r="T25">
        <v>4.8</v>
      </c>
      <c r="U25">
        <v>2</v>
      </c>
      <c r="V25">
        <v>1</v>
      </c>
      <c r="AE25">
        <f t="shared" si="2"/>
        <v>4</v>
      </c>
      <c r="AF25">
        <f t="shared" ref="AF25:AF26" si="8">R24-V24</f>
        <v>8.3000000000000007</v>
      </c>
      <c r="AG25">
        <f t="shared" si="4"/>
        <v>0.48192771084337344</v>
      </c>
      <c r="AH25">
        <f t="shared" si="5"/>
        <v>481.92771084337346</v>
      </c>
    </row>
    <row r="26" spans="1:34" x14ac:dyDescent="0.35">
      <c r="A26">
        <v>3</v>
      </c>
      <c r="B26" t="s">
        <v>19</v>
      </c>
      <c r="C26">
        <v>3</v>
      </c>
      <c r="D26">
        <v>0.5</v>
      </c>
      <c r="E26">
        <v>1.1000000000000001</v>
      </c>
      <c r="F26">
        <f t="shared" si="0"/>
        <v>1.9</v>
      </c>
      <c r="G26">
        <f t="shared" si="1"/>
        <v>500</v>
      </c>
      <c r="P26">
        <v>7</v>
      </c>
      <c r="Q26" t="s">
        <v>28</v>
      </c>
      <c r="R26">
        <v>3.3</v>
      </c>
      <c r="S26">
        <v>2</v>
      </c>
      <c r="T26">
        <v>0.9</v>
      </c>
      <c r="AE26">
        <f t="shared" si="2"/>
        <v>2</v>
      </c>
      <c r="AF26">
        <f t="shared" si="8"/>
        <v>9.6</v>
      </c>
      <c r="AG26">
        <f t="shared" si="4"/>
        <v>0.20833333333333334</v>
      </c>
      <c r="AH26">
        <f t="shared" si="5"/>
        <v>208.33333333333334</v>
      </c>
    </row>
    <row r="27" spans="1:34" x14ac:dyDescent="0.35">
      <c r="A27">
        <v>3</v>
      </c>
      <c r="B27" t="s">
        <v>19</v>
      </c>
      <c r="C27">
        <v>3.3</v>
      </c>
      <c r="D27">
        <v>0.5</v>
      </c>
      <c r="E27">
        <v>1.8</v>
      </c>
      <c r="F27">
        <f t="shared" si="0"/>
        <v>1.4999999999999998</v>
      </c>
      <c r="G27">
        <f t="shared" si="1"/>
        <v>500</v>
      </c>
      <c r="R27">
        <v>2.7</v>
      </c>
      <c r="S27">
        <v>1.5</v>
      </c>
      <c r="T27">
        <v>1</v>
      </c>
      <c r="AE27">
        <f t="shared" si="2"/>
        <v>1.5</v>
      </c>
      <c r="AF27">
        <f>R26-T26</f>
        <v>2.4</v>
      </c>
      <c r="AG27">
        <f t="shared" si="4"/>
        <v>0.625</v>
      </c>
      <c r="AH27">
        <f t="shared" si="5"/>
        <v>625</v>
      </c>
    </row>
    <row r="28" spans="1:34" x14ac:dyDescent="0.35">
      <c r="A28">
        <v>3</v>
      </c>
      <c r="B28" t="s">
        <v>19</v>
      </c>
      <c r="C28">
        <v>1.8</v>
      </c>
      <c r="D28">
        <v>0.1</v>
      </c>
      <c r="E28">
        <v>0.1</v>
      </c>
      <c r="F28">
        <f t="shared" si="0"/>
        <v>1.7</v>
      </c>
      <c r="G28">
        <f t="shared" si="1"/>
        <v>100</v>
      </c>
      <c r="R28">
        <v>3.2</v>
      </c>
      <c r="S28">
        <v>2</v>
      </c>
      <c r="T28">
        <v>0.9</v>
      </c>
      <c r="AE28">
        <f t="shared" si="2"/>
        <v>2</v>
      </c>
      <c r="AF28">
        <f t="shared" ref="AF28" si="9">R27-T27</f>
        <v>1.7000000000000002</v>
      </c>
      <c r="AG28">
        <f t="shared" si="4"/>
        <v>1.1764705882352939</v>
      </c>
      <c r="AH28">
        <f t="shared" si="5"/>
        <v>1176.4705882352939</v>
      </c>
    </row>
    <row r="29" spans="1:34" x14ac:dyDescent="0.35">
      <c r="A29">
        <v>3</v>
      </c>
      <c r="B29" t="s">
        <v>19</v>
      </c>
      <c r="C29">
        <v>1.5</v>
      </c>
      <c r="D29">
        <v>0.1</v>
      </c>
      <c r="E29">
        <v>0.9</v>
      </c>
      <c r="F29">
        <f t="shared" si="0"/>
        <v>0.6</v>
      </c>
      <c r="G29">
        <f t="shared" si="1"/>
        <v>100</v>
      </c>
      <c r="P29">
        <v>8</v>
      </c>
      <c r="Q29" t="s">
        <v>61</v>
      </c>
      <c r="R29" t="s">
        <v>62</v>
      </c>
      <c r="S29">
        <v>2.5</v>
      </c>
      <c r="T29">
        <v>2</v>
      </c>
      <c r="U29" t="s">
        <v>63</v>
      </c>
      <c r="V29">
        <v>2</v>
      </c>
      <c r="W29">
        <v>1</v>
      </c>
      <c r="AE29">
        <f t="shared" si="2"/>
        <v>7</v>
      </c>
      <c r="AF29">
        <f>R29-W29</f>
        <v>13.7</v>
      </c>
      <c r="AG29">
        <f t="shared" si="4"/>
        <v>0.51094890510948909</v>
      </c>
      <c r="AH29">
        <f t="shared" si="5"/>
        <v>510.94890510948909</v>
      </c>
    </row>
    <row r="30" spans="1:34" x14ac:dyDescent="0.35">
      <c r="A30">
        <v>4</v>
      </c>
      <c r="B30" t="s">
        <v>20</v>
      </c>
      <c r="C30">
        <v>11.4</v>
      </c>
      <c r="D30">
        <v>1.5</v>
      </c>
      <c r="E30">
        <v>5.3</v>
      </c>
      <c r="F30">
        <f t="shared" si="0"/>
        <v>6.1000000000000005</v>
      </c>
      <c r="G30">
        <f t="shared" si="1"/>
        <v>1500</v>
      </c>
      <c r="R30" t="s">
        <v>64</v>
      </c>
      <c r="S30">
        <v>2.5</v>
      </c>
      <c r="T30">
        <v>1.5</v>
      </c>
      <c r="U30" t="s">
        <v>65</v>
      </c>
      <c r="V30">
        <v>2</v>
      </c>
      <c r="W30" t="s">
        <v>66</v>
      </c>
      <c r="AE30">
        <f t="shared" si="2"/>
        <v>6.2</v>
      </c>
      <c r="AF30">
        <f t="shared" ref="AF30:AF31" si="10">R30-W30</f>
        <v>12.7</v>
      </c>
      <c r="AG30">
        <f t="shared" si="4"/>
        <v>0.48818897637795278</v>
      </c>
      <c r="AH30">
        <f t="shared" si="5"/>
        <v>488.18897637795277</v>
      </c>
    </row>
    <row r="31" spans="1:34" x14ac:dyDescent="0.35">
      <c r="A31">
        <v>4</v>
      </c>
      <c r="B31" t="s">
        <v>20</v>
      </c>
      <c r="C31">
        <v>11.1</v>
      </c>
      <c r="D31">
        <v>1</v>
      </c>
      <c r="E31">
        <v>5.7</v>
      </c>
      <c r="F31">
        <f t="shared" si="0"/>
        <v>5.3999999999999995</v>
      </c>
      <c r="G31">
        <f t="shared" si="1"/>
        <v>1000</v>
      </c>
      <c r="R31" t="s">
        <v>67</v>
      </c>
      <c r="S31">
        <v>2</v>
      </c>
      <c r="T31">
        <v>1.5</v>
      </c>
      <c r="U31" t="s">
        <v>68</v>
      </c>
      <c r="V31">
        <v>2</v>
      </c>
      <c r="W31" t="s">
        <v>69</v>
      </c>
      <c r="AE31">
        <f t="shared" si="2"/>
        <v>4.3</v>
      </c>
      <c r="AF31">
        <f t="shared" si="10"/>
        <v>5</v>
      </c>
      <c r="AG31">
        <f t="shared" si="4"/>
        <v>0.86</v>
      </c>
      <c r="AH31">
        <f t="shared" si="5"/>
        <v>860</v>
      </c>
    </row>
    <row r="32" spans="1:34" x14ac:dyDescent="0.35">
      <c r="A32">
        <v>4</v>
      </c>
      <c r="B32" t="s">
        <v>20</v>
      </c>
      <c r="C32">
        <v>7.4</v>
      </c>
      <c r="D32">
        <v>1</v>
      </c>
      <c r="E32">
        <v>4.7</v>
      </c>
      <c r="F32">
        <f t="shared" si="0"/>
        <v>2.7</v>
      </c>
      <c r="G32">
        <f t="shared" si="1"/>
        <v>1000</v>
      </c>
      <c r="P32">
        <v>9</v>
      </c>
      <c r="Q32" t="s">
        <v>38</v>
      </c>
      <c r="R32">
        <v>4.5</v>
      </c>
      <c r="S32">
        <v>2</v>
      </c>
      <c r="T32" t="s">
        <v>66</v>
      </c>
      <c r="AE32">
        <f t="shared" si="2"/>
        <v>2</v>
      </c>
      <c r="AF32">
        <f>R32-T32</f>
        <v>3.6</v>
      </c>
      <c r="AG32">
        <f t="shared" si="4"/>
        <v>0.55555555555555558</v>
      </c>
      <c r="AH32">
        <f t="shared" si="5"/>
        <v>555.55555555555554</v>
      </c>
    </row>
    <row r="33" spans="1:34" x14ac:dyDescent="0.35">
      <c r="A33">
        <v>4</v>
      </c>
      <c r="B33" t="s">
        <v>20</v>
      </c>
      <c r="C33">
        <v>5.3</v>
      </c>
      <c r="D33">
        <v>1</v>
      </c>
      <c r="E33">
        <v>4.0999999999999996</v>
      </c>
      <c r="F33">
        <f t="shared" si="0"/>
        <v>1.2000000000000002</v>
      </c>
      <c r="G33">
        <f t="shared" si="1"/>
        <v>1000</v>
      </c>
      <c r="R33">
        <v>3.6</v>
      </c>
      <c r="S33">
        <v>2</v>
      </c>
      <c r="T33" t="s">
        <v>70</v>
      </c>
      <c r="AE33">
        <f t="shared" si="2"/>
        <v>2</v>
      </c>
      <c r="AF33">
        <f t="shared" ref="AF33:AF34" si="11">R33-T33</f>
        <v>2.8</v>
      </c>
      <c r="AG33">
        <f t="shared" si="4"/>
        <v>0.7142857142857143</v>
      </c>
      <c r="AH33">
        <f t="shared" si="5"/>
        <v>714.28571428571433</v>
      </c>
    </row>
    <row r="34" spans="1:34" x14ac:dyDescent="0.35">
      <c r="A34">
        <v>4</v>
      </c>
      <c r="B34" t="s">
        <v>20</v>
      </c>
      <c r="C34">
        <v>5.7</v>
      </c>
      <c r="D34">
        <v>0.5</v>
      </c>
      <c r="E34">
        <v>5.0999999999999996</v>
      </c>
      <c r="F34">
        <f t="shared" si="0"/>
        <v>0.60000000000000053</v>
      </c>
      <c r="G34">
        <f t="shared" si="1"/>
        <v>500</v>
      </c>
      <c r="R34">
        <v>4.0999999999999996</v>
      </c>
      <c r="S34">
        <v>2</v>
      </c>
      <c r="T34" t="s">
        <v>71</v>
      </c>
      <c r="AE34">
        <f t="shared" si="2"/>
        <v>2</v>
      </c>
      <c r="AF34">
        <f t="shared" si="11"/>
        <v>3.4999999999999996</v>
      </c>
      <c r="AG34">
        <f t="shared" si="4"/>
        <v>0.57142857142857151</v>
      </c>
      <c r="AH34">
        <f t="shared" si="5"/>
        <v>571.42857142857156</v>
      </c>
    </row>
    <row r="35" spans="1:34" x14ac:dyDescent="0.35">
      <c r="A35">
        <v>4</v>
      </c>
      <c r="B35" t="s">
        <v>20</v>
      </c>
      <c r="C35">
        <v>4.7</v>
      </c>
      <c r="D35">
        <v>1</v>
      </c>
      <c r="E35">
        <v>2.4</v>
      </c>
      <c r="F35">
        <f t="shared" si="0"/>
        <v>2.3000000000000003</v>
      </c>
      <c r="G35">
        <f t="shared" si="1"/>
        <v>1000</v>
      </c>
      <c r="P35">
        <v>10</v>
      </c>
      <c r="Q35" t="s">
        <v>43</v>
      </c>
      <c r="R35">
        <v>7.6</v>
      </c>
      <c r="S35">
        <v>2</v>
      </c>
      <c r="T35">
        <v>1.9</v>
      </c>
      <c r="AE35">
        <f t="shared" si="2"/>
        <v>2</v>
      </c>
      <c r="AF35">
        <f>R35-T35</f>
        <v>5.6999999999999993</v>
      </c>
      <c r="AG35">
        <f t="shared" si="4"/>
        <v>0.35087719298245618</v>
      </c>
      <c r="AH35">
        <f t="shared" si="5"/>
        <v>350.87719298245617</v>
      </c>
    </row>
    <row r="36" spans="1:34" x14ac:dyDescent="0.35">
      <c r="A36">
        <v>4</v>
      </c>
      <c r="B36" t="s">
        <v>20</v>
      </c>
      <c r="C36">
        <v>2.1</v>
      </c>
      <c r="D36">
        <v>1.5</v>
      </c>
      <c r="E36">
        <v>0.4</v>
      </c>
      <c r="F36">
        <f t="shared" si="0"/>
        <v>1.7000000000000002</v>
      </c>
      <c r="G36">
        <f t="shared" si="1"/>
        <v>1500</v>
      </c>
      <c r="R36">
        <v>8.5</v>
      </c>
      <c r="S36">
        <v>2</v>
      </c>
      <c r="T36">
        <v>1.8</v>
      </c>
      <c r="AE36">
        <f t="shared" si="2"/>
        <v>2</v>
      </c>
      <c r="AF36">
        <f>R36-T36</f>
        <v>6.7</v>
      </c>
      <c r="AG36">
        <f t="shared" si="4"/>
        <v>0.29850746268656714</v>
      </c>
      <c r="AH36">
        <f t="shared" si="5"/>
        <v>298.50746268656712</v>
      </c>
    </row>
    <row r="37" spans="1:34" x14ac:dyDescent="0.35">
      <c r="A37">
        <v>4</v>
      </c>
      <c r="B37" t="s">
        <v>20</v>
      </c>
      <c r="C37">
        <v>3</v>
      </c>
      <c r="D37">
        <v>1.5</v>
      </c>
      <c r="E37">
        <v>0.35</v>
      </c>
      <c r="F37">
        <f t="shared" si="0"/>
        <v>2.65</v>
      </c>
      <c r="G37">
        <f t="shared" si="1"/>
        <v>1500</v>
      </c>
      <c r="R37">
        <v>8.3000000000000007</v>
      </c>
      <c r="S37">
        <v>2</v>
      </c>
      <c r="T37">
        <v>2.1</v>
      </c>
      <c r="U37">
        <v>1.5</v>
      </c>
      <c r="V37">
        <v>1.1000000000000001</v>
      </c>
      <c r="AE37">
        <f t="shared" si="2"/>
        <v>3.5</v>
      </c>
      <c r="AF37">
        <f>R37-V37</f>
        <v>7.2000000000000011</v>
      </c>
      <c r="AG37">
        <f t="shared" si="4"/>
        <v>0.48611111111111105</v>
      </c>
      <c r="AH37">
        <f t="shared" si="5"/>
        <v>486.11111111111103</v>
      </c>
    </row>
    <row r="38" spans="1:34" x14ac:dyDescent="0.35">
      <c r="A38">
        <v>4</v>
      </c>
      <c r="B38" t="s">
        <v>20</v>
      </c>
      <c r="C38">
        <v>1.8</v>
      </c>
      <c r="D38">
        <v>1.5</v>
      </c>
      <c r="E38">
        <v>0.2</v>
      </c>
      <c r="F38">
        <f t="shared" si="0"/>
        <v>1.6</v>
      </c>
      <c r="G38">
        <f t="shared" si="1"/>
        <v>1500</v>
      </c>
      <c r="P38">
        <v>11</v>
      </c>
      <c r="Q38" t="s">
        <v>44</v>
      </c>
      <c r="R38">
        <v>13.7</v>
      </c>
      <c r="S38">
        <v>3</v>
      </c>
      <c r="T38">
        <v>3.2</v>
      </c>
      <c r="U38">
        <v>1.5</v>
      </c>
      <c r="V38">
        <v>1</v>
      </c>
      <c r="AE38">
        <f t="shared" si="2"/>
        <v>4.5</v>
      </c>
      <c r="AF38">
        <f t="shared" ref="AF38:AF45" si="12">R38-V38</f>
        <v>12.7</v>
      </c>
      <c r="AG38">
        <f t="shared" si="4"/>
        <v>0.35433070866141736</v>
      </c>
      <c r="AH38">
        <f t="shared" si="5"/>
        <v>354.33070866141736</v>
      </c>
    </row>
    <row r="39" spans="1:34" x14ac:dyDescent="0.35">
      <c r="A39">
        <v>5</v>
      </c>
      <c r="B39" t="s">
        <v>21</v>
      </c>
      <c r="C39">
        <v>6.9</v>
      </c>
      <c r="D39">
        <v>1.5</v>
      </c>
      <c r="E39">
        <v>4.2</v>
      </c>
      <c r="F39">
        <f t="shared" si="0"/>
        <v>2.7</v>
      </c>
      <c r="G39">
        <f t="shared" si="1"/>
        <v>1500</v>
      </c>
      <c r="R39">
        <v>9.9</v>
      </c>
      <c r="S39">
        <v>2</v>
      </c>
      <c r="T39">
        <v>1.3</v>
      </c>
      <c r="U39">
        <v>1.5</v>
      </c>
      <c r="V39">
        <v>0.5</v>
      </c>
      <c r="AE39">
        <f t="shared" si="2"/>
        <v>3.5</v>
      </c>
      <c r="AF39">
        <f t="shared" si="12"/>
        <v>9.4</v>
      </c>
      <c r="AG39">
        <f t="shared" si="4"/>
        <v>0.37234042553191488</v>
      </c>
      <c r="AH39">
        <f t="shared" si="5"/>
        <v>372.34042553191489</v>
      </c>
    </row>
    <row r="40" spans="1:34" x14ac:dyDescent="0.35">
      <c r="A40">
        <v>5</v>
      </c>
      <c r="B40" t="s">
        <v>21</v>
      </c>
      <c r="C40">
        <v>5.9</v>
      </c>
      <c r="D40">
        <v>1.5</v>
      </c>
      <c r="E40">
        <v>4</v>
      </c>
      <c r="F40">
        <f t="shared" si="0"/>
        <v>1.9000000000000004</v>
      </c>
      <c r="G40">
        <f t="shared" si="1"/>
        <v>1500</v>
      </c>
      <c r="R40">
        <v>16.600000000000001</v>
      </c>
      <c r="S40">
        <v>2</v>
      </c>
      <c r="T40">
        <v>1.5</v>
      </c>
      <c r="U40">
        <v>1.5</v>
      </c>
      <c r="V40">
        <v>1.1000000000000001</v>
      </c>
      <c r="AE40">
        <f t="shared" si="2"/>
        <v>3.5</v>
      </c>
      <c r="AF40">
        <f t="shared" si="12"/>
        <v>15.500000000000002</v>
      </c>
      <c r="AG40">
        <f t="shared" si="4"/>
        <v>0.22580645161290319</v>
      </c>
      <c r="AH40">
        <f t="shared" si="5"/>
        <v>225.8064516129032</v>
      </c>
    </row>
    <row r="41" spans="1:34" x14ac:dyDescent="0.35">
      <c r="A41">
        <v>5</v>
      </c>
      <c r="B41" t="s">
        <v>21</v>
      </c>
      <c r="C41">
        <v>6.7</v>
      </c>
      <c r="D41">
        <v>1.5</v>
      </c>
      <c r="E41">
        <v>3.9</v>
      </c>
      <c r="F41">
        <f t="shared" si="0"/>
        <v>2.8000000000000003</v>
      </c>
      <c r="G41">
        <f t="shared" si="1"/>
        <v>1500</v>
      </c>
      <c r="P41">
        <v>12</v>
      </c>
      <c r="Q41" t="s">
        <v>45</v>
      </c>
      <c r="R41">
        <v>4.5</v>
      </c>
      <c r="S41">
        <v>2</v>
      </c>
      <c r="T41">
        <v>2.2000000000000002</v>
      </c>
      <c r="U41">
        <v>2</v>
      </c>
      <c r="V41">
        <v>1.4</v>
      </c>
      <c r="AE41">
        <f t="shared" si="2"/>
        <v>4</v>
      </c>
      <c r="AF41">
        <f t="shared" si="12"/>
        <v>3.1</v>
      </c>
      <c r="AG41">
        <f t="shared" si="4"/>
        <v>1.2903225806451613</v>
      </c>
      <c r="AH41">
        <f t="shared" si="5"/>
        <v>1290.3225806451612</v>
      </c>
    </row>
    <row r="42" spans="1:34" x14ac:dyDescent="0.35">
      <c r="A42">
        <v>5</v>
      </c>
      <c r="B42" t="s">
        <v>21</v>
      </c>
      <c r="C42">
        <v>4.2</v>
      </c>
      <c r="D42">
        <v>2</v>
      </c>
      <c r="E42">
        <v>4</v>
      </c>
      <c r="F42">
        <f t="shared" si="0"/>
        <v>0.20000000000000018</v>
      </c>
      <c r="G42">
        <f t="shared" si="1"/>
        <v>2000</v>
      </c>
      <c r="R42">
        <v>2.7</v>
      </c>
      <c r="S42">
        <v>2</v>
      </c>
      <c r="T42">
        <v>1.4</v>
      </c>
      <c r="U42">
        <v>1.5</v>
      </c>
      <c r="V42">
        <v>1.4</v>
      </c>
      <c r="AE42">
        <f t="shared" si="2"/>
        <v>3.5</v>
      </c>
      <c r="AF42">
        <f t="shared" si="12"/>
        <v>1.3000000000000003</v>
      </c>
      <c r="AG42">
        <f t="shared" si="4"/>
        <v>2.6923076923076916</v>
      </c>
      <c r="AH42">
        <f t="shared" si="5"/>
        <v>2692.3076923076915</v>
      </c>
    </row>
    <row r="43" spans="1:34" x14ac:dyDescent="0.35">
      <c r="A43">
        <v>5</v>
      </c>
      <c r="B43" t="s">
        <v>21</v>
      </c>
      <c r="C43">
        <v>4</v>
      </c>
      <c r="D43">
        <v>2</v>
      </c>
      <c r="E43">
        <v>3.4</v>
      </c>
      <c r="F43">
        <f t="shared" si="0"/>
        <v>0.60000000000000009</v>
      </c>
      <c r="G43">
        <f t="shared" si="1"/>
        <v>2000</v>
      </c>
      <c r="R43">
        <v>4.5999999999999996</v>
      </c>
      <c r="S43">
        <v>2</v>
      </c>
      <c r="T43">
        <v>1.4</v>
      </c>
      <c r="U43">
        <v>1.5</v>
      </c>
      <c r="V43">
        <v>1.4</v>
      </c>
      <c r="AE43">
        <f t="shared" si="2"/>
        <v>3.5</v>
      </c>
      <c r="AF43">
        <f t="shared" si="12"/>
        <v>3.1999999999999997</v>
      </c>
      <c r="AG43">
        <f t="shared" si="4"/>
        <v>1.09375</v>
      </c>
      <c r="AH43">
        <f t="shared" si="5"/>
        <v>1093.75</v>
      </c>
    </row>
    <row r="44" spans="1:34" x14ac:dyDescent="0.35">
      <c r="A44">
        <v>5</v>
      </c>
      <c r="B44" t="s">
        <v>21</v>
      </c>
      <c r="C44">
        <v>3.9</v>
      </c>
      <c r="D44">
        <v>2</v>
      </c>
      <c r="E44">
        <v>1.7</v>
      </c>
      <c r="F44">
        <f t="shared" si="0"/>
        <v>2.2000000000000002</v>
      </c>
      <c r="G44">
        <f t="shared" si="1"/>
        <v>2000</v>
      </c>
      <c r="P44">
        <v>13</v>
      </c>
      <c r="Q44" t="s">
        <v>46</v>
      </c>
      <c r="R44">
        <v>8.8000000000000007</v>
      </c>
      <c r="S44">
        <v>2.5</v>
      </c>
      <c r="T44">
        <v>4</v>
      </c>
      <c r="U44">
        <v>2</v>
      </c>
      <c r="V44">
        <v>1.2</v>
      </c>
      <c r="AE44">
        <f t="shared" si="2"/>
        <v>4.5</v>
      </c>
      <c r="AF44">
        <f t="shared" si="12"/>
        <v>7.6000000000000005</v>
      </c>
      <c r="AG44">
        <f t="shared" si="4"/>
        <v>0.59210526315789469</v>
      </c>
      <c r="AH44">
        <f t="shared" si="5"/>
        <v>592.10526315789468</v>
      </c>
    </row>
    <row r="45" spans="1:34" x14ac:dyDescent="0.35">
      <c r="A45">
        <v>5</v>
      </c>
      <c r="B45" t="s">
        <v>21</v>
      </c>
      <c r="C45">
        <v>4</v>
      </c>
      <c r="D45">
        <v>2</v>
      </c>
      <c r="E45">
        <v>2.2999999999999998</v>
      </c>
      <c r="F45">
        <f t="shared" si="0"/>
        <v>1.7000000000000002</v>
      </c>
      <c r="G45">
        <f t="shared" si="1"/>
        <v>2000</v>
      </c>
      <c r="R45">
        <v>7.8</v>
      </c>
      <c r="S45">
        <v>1.5</v>
      </c>
      <c r="T45">
        <v>3.5</v>
      </c>
      <c r="U45">
        <v>2</v>
      </c>
      <c r="V45">
        <v>1.5</v>
      </c>
      <c r="AE45">
        <f t="shared" si="2"/>
        <v>3.5</v>
      </c>
      <c r="AF45">
        <f t="shared" si="12"/>
        <v>6.3</v>
      </c>
      <c r="AG45">
        <f t="shared" si="4"/>
        <v>0.55555555555555558</v>
      </c>
      <c r="AH45">
        <f t="shared" si="5"/>
        <v>555.55555555555554</v>
      </c>
    </row>
    <row r="46" spans="1:34" x14ac:dyDescent="0.35">
      <c r="A46">
        <v>5</v>
      </c>
      <c r="B46" t="s">
        <v>21</v>
      </c>
      <c r="C46">
        <v>3.4</v>
      </c>
      <c r="D46">
        <v>2</v>
      </c>
      <c r="E46">
        <v>3.3</v>
      </c>
      <c r="F46">
        <f t="shared" si="0"/>
        <v>0.10000000000000009</v>
      </c>
      <c r="G46">
        <f t="shared" si="1"/>
        <v>2000</v>
      </c>
      <c r="R46">
        <v>1.5</v>
      </c>
      <c r="S46">
        <v>1.5</v>
      </c>
      <c r="T46">
        <v>0.2</v>
      </c>
      <c r="AE46">
        <f t="shared" si="2"/>
        <v>1.5</v>
      </c>
      <c r="AF46">
        <f>R46-T46</f>
        <v>1.3</v>
      </c>
      <c r="AG46">
        <f t="shared" si="4"/>
        <v>1.1538461538461537</v>
      </c>
      <c r="AH46">
        <f t="shared" si="5"/>
        <v>1153.8461538461538</v>
      </c>
    </row>
    <row r="47" spans="1:34" x14ac:dyDescent="0.35">
      <c r="A47">
        <v>5</v>
      </c>
      <c r="B47" t="s">
        <v>21</v>
      </c>
      <c r="C47">
        <v>1.7</v>
      </c>
      <c r="D47">
        <v>1.1000000000000001</v>
      </c>
      <c r="E47">
        <v>0.8</v>
      </c>
      <c r="F47">
        <f t="shared" si="0"/>
        <v>0.89999999999999991</v>
      </c>
      <c r="G47">
        <f t="shared" si="1"/>
        <v>1100</v>
      </c>
      <c r="P47">
        <v>14</v>
      </c>
      <c r="Q47" t="s">
        <v>72</v>
      </c>
      <c r="R47">
        <v>7.2</v>
      </c>
      <c r="S47">
        <v>3</v>
      </c>
      <c r="T47">
        <v>2.4</v>
      </c>
      <c r="U47">
        <v>1.5</v>
      </c>
      <c r="V47">
        <v>0.2</v>
      </c>
      <c r="AE47">
        <f t="shared" si="2"/>
        <v>4.5</v>
      </c>
      <c r="AF47">
        <f>R47-V47</f>
        <v>7</v>
      </c>
      <c r="AG47">
        <f t="shared" si="4"/>
        <v>0.6428571428571429</v>
      </c>
      <c r="AH47">
        <f t="shared" si="5"/>
        <v>642.85714285714289</v>
      </c>
    </row>
    <row r="48" spans="1:34" x14ac:dyDescent="0.35">
      <c r="A48">
        <v>5</v>
      </c>
      <c r="B48" t="s">
        <v>21</v>
      </c>
      <c r="C48">
        <v>2.2999999999999998</v>
      </c>
      <c r="D48">
        <v>2.5</v>
      </c>
      <c r="E48">
        <v>0.1</v>
      </c>
      <c r="F48">
        <f t="shared" si="0"/>
        <v>2.1999999999999997</v>
      </c>
      <c r="G48">
        <f t="shared" si="1"/>
        <v>2500</v>
      </c>
      <c r="R48">
        <v>23.2</v>
      </c>
      <c r="S48">
        <v>3</v>
      </c>
      <c r="T48">
        <v>6</v>
      </c>
      <c r="U48">
        <v>2.5</v>
      </c>
      <c r="V48">
        <v>1.7</v>
      </c>
      <c r="AE48">
        <f t="shared" si="2"/>
        <v>5.5</v>
      </c>
      <c r="AF48">
        <f t="shared" ref="AF48:AF49" si="13">R48-V48</f>
        <v>21.5</v>
      </c>
      <c r="AG48">
        <f t="shared" si="4"/>
        <v>0.2558139534883721</v>
      </c>
      <c r="AH48">
        <f t="shared" si="5"/>
        <v>255.81395348837211</v>
      </c>
    </row>
    <row r="49" spans="1:34" x14ac:dyDescent="0.35">
      <c r="A49">
        <v>5</v>
      </c>
      <c r="B49" t="s">
        <v>21</v>
      </c>
      <c r="C49">
        <v>3.3</v>
      </c>
      <c r="D49">
        <v>2.5</v>
      </c>
      <c r="E49">
        <v>0.5</v>
      </c>
      <c r="F49">
        <f t="shared" si="0"/>
        <v>2.8</v>
      </c>
      <c r="G49">
        <f t="shared" si="1"/>
        <v>2500</v>
      </c>
      <c r="R49">
        <v>10.8</v>
      </c>
      <c r="S49">
        <v>3</v>
      </c>
      <c r="T49">
        <v>3.6</v>
      </c>
      <c r="U49">
        <v>3</v>
      </c>
      <c r="V49">
        <v>1.4</v>
      </c>
      <c r="AE49">
        <f t="shared" si="2"/>
        <v>6</v>
      </c>
      <c r="AF49">
        <f t="shared" si="13"/>
        <v>9.4</v>
      </c>
      <c r="AG49">
        <f t="shared" si="4"/>
        <v>0.63829787234042545</v>
      </c>
      <c r="AH49">
        <f t="shared" si="5"/>
        <v>638.29787234042544</v>
      </c>
    </row>
    <row r="50" spans="1:34" x14ac:dyDescent="0.35">
      <c r="A50">
        <v>6</v>
      </c>
      <c r="B50" t="s">
        <v>24</v>
      </c>
      <c r="C50">
        <v>10.6</v>
      </c>
      <c r="D50">
        <v>2</v>
      </c>
      <c r="E50">
        <v>3.1</v>
      </c>
      <c r="F50">
        <f t="shared" si="0"/>
        <v>7.5</v>
      </c>
      <c r="G50">
        <f t="shared" si="1"/>
        <v>2000</v>
      </c>
      <c r="P50">
        <v>15</v>
      </c>
      <c r="Q50" t="s">
        <v>73</v>
      </c>
      <c r="R50">
        <v>3.5</v>
      </c>
      <c r="S50">
        <v>2.5</v>
      </c>
      <c r="T50">
        <v>2.2999999999999998</v>
      </c>
      <c r="U50">
        <v>2.5</v>
      </c>
      <c r="V50">
        <v>1.1000000000000001</v>
      </c>
      <c r="AE50">
        <f t="shared" si="2"/>
        <v>5</v>
      </c>
      <c r="AF50">
        <f>R50-V50</f>
        <v>2.4</v>
      </c>
      <c r="AG50">
        <f t="shared" si="4"/>
        <v>2.0833333333333335</v>
      </c>
      <c r="AH50">
        <f t="shared" si="5"/>
        <v>2083.3333333333335</v>
      </c>
    </row>
    <row r="51" spans="1:34" x14ac:dyDescent="0.35">
      <c r="A51">
        <v>6</v>
      </c>
      <c r="B51" t="s">
        <v>24</v>
      </c>
      <c r="C51">
        <v>9.3000000000000007</v>
      </c>
      <c r="D51">
        <v>2</v>
      </c>
      <c r="E51">
        <v>3.1</v>
      </c>
      <c r="F51">
        <f t="shared" si="0"/>
        <v>6.2000000000000011</v>
      </c>
      <c r="G51">
        <f t="shared" si="1"/>
        <v>2000</v>
      </c>
      <c r="R51">
        <v>4</v>
      </c>
      <c r="S51">
        <v>2.5</v>
      </c>
      <c r="T51">
        <v>3.1</v>
      </c>
      <c r="U51">
        <v>2.5</v>
      </c>
      <c r="V51">
        <v>1</v>
      </c>
      <c r="AE51">
        <f t="shared" si="2"/>
        <v>5</v>
      </c>
      <c r="AF51">
        <f t="shared" ref="AF51:AF52" si="14">R51-V51</f>
        <v>3</v>
      </c>
      <c r="AG51">
        <f t="shared" si="4"/>
        <v>1.6666666666666667</v>
      </c>
      <c r="AH51">
        <f t="shared" si="5"/>
        <v>1666.6666666666667</v>
      </c>
    </row>
    <row r="52" spans="1:34" x14ac:dyDescent="0.35">
      <c r="A52">
        <v>6</v>
      </c>
      <c r="B52" t="s">
        <v>24</v>
      </c>
      <c r="C52">
        <v>10.6</v>
      </c>
      <c r="D52">
        <v>2</v>
      </c>
      <c r="E52">
        <v>4.8</v>
      </c>
      <c r="F52">
        <f t="shared" si="0"/>
        <v>5.8</v>
      </c>
      <c r="G52">
        <f t="shared" si="1"/>
        <v>2000</v>
      </c>
      <c r="R52">
        <v>3.1</v>
      </c>
      <c r="S52">
        <v>2.5</v>
      </c>
      <c r="T52">
        <v>2.1</v>
      </c>
      <c r="U52">
        <v>2.5</v>
      </c>
      <c r="V52">
        <v>1.5</v>
      </c>
      <c r="AE52">
        <f t="shared" si="2"/>
        <v>5</v>
      </c>
      <c r="AF52">
        <f t="shared" si="14"/>
        <v>1.6</v>
      </c>
      <c r="AG52">
        <f t="shared" si="4"/>
        <v>3.125</v>
      </c>
      <c r="AH52">
        <f t="shared" si="5"/>
        <v>3125</v>
      </c>
    </row>
    <row r="53" spans="1:34" x14ac:dyDescent="0.35">
      <c r="A53">
        <v>6</v>
      </c>
      <c r="B53" t="s">
        <v>24</v>
      </c>
      <c r="C53">
        <v>3.1</v>
      </c>
      <c r="D53">
        <v>1.5</v>
      </c>
      <c r="E53">
        <v>1</v>
      </c>
      <c r="F53">
        <f t="shared" si="0"/>
        <v>2.1</v>
      </c>
      <c r="G53">
        <f t="shared" si="1"/>
        <v>1500</v>
      </c>
    </row>
    <row r="54" spans="1:34" x14ac:dyDescent="0.35">
      <c r="A54">
        <v>6</v>
      </c>
      <c r="B54" t="s">
        <v>24</v>
      </c>
      <c r="C54">
        <v>3.1</v>
      </c>
      <c r="D54">
        <v>1.5</v>
      </c>
      <c r="E54">
        <v>1</v>
      </c>
      <c r="F54">
        <f t="shared" si="0"/>
        <v>2.1</v>
      </c>
      <c r="G54">
        <f t="shared" si="1"/>
        <v>1500</v>
      </c>
    </row>
    <row r="55" spans="1:34" x14ac:dyDescent="0.35">
      <c r="A55">
        <v>6</v>
      </c>
      <c r="B55" t="s">
        <v>24</v>
      </c>
      <c r="C55">
        <v>4.8</v>
      </c>
      <c r="D55">
        <v>2</v>
      </c>
      <c r="E55">
        <v>1</v>
      </c>
      <c r="F55">
        <f t="shared" si="0"/>
        <v>3.8</v>
      </c>
      <c r="G55">
        <f t="shared" si="1"/>
        <v>2000</v>
      </c>
    </row>
    <row r="56" spans="1:34" x14ac:dyDescent="0.35">
      <c r="A56">
        <v>7</v>
      </c>
      <c r="B56" t="s">
        <v>28</v>
      </c>
      <c r="C56">
        <v>3.3</v>
      </c>
      <c r="D56">
        <v>2</v>
      </c>
      <c r="E56">
        <v>0.9</v>
      </c>
      <c r="F56">
        <f t="shared" si="0"/>
        <v>2.4</v>
      </c>
      <c r="G56">
        <f t="shared" si="1"/>
        <v>2000</v>
      </c>
    </row>
    <row r="57" spans="1:34" x14ac:dyDescent="0.35">
      <c r="A57">
        <v>7</v>
      </c>
      <c r="B57" t="s">
        <v>28</v>
      </c>
      <c r="C57">
        <v>2.7</v>
      </c>
      <c r="D57">
        <v>1.5</v>
      </c>
      <c r="E57">
        <v>1</v>
      </c>
      <c r="F57">
        <f t="shared" si="0"/>
        <v>1.7000000000000002</v>
      </c>
      <c r="G57">
        <f t="shared" si="1"/>
        <v>1500</v>
      </c>
    </row>
    <row r="58" spans="1:34" x14ac:dyDescent="0.35">
      <c r="A58">
        <v>7</v>
      </c>
      <c r="B58" t="s">
        <v>28</v>
      </c>
      <c r="C58">
        <v>3.2</v>
      </c>
      <c r="D58">
        <v>2</v>
      </c>
      <c r="E58">
        <v>0.9</v>
      </c>
      <c r="F58">
        <f t="shared" si="0"/>
        <v>2.3000000000000003</v>
      </c>
      <c r="G58">
        <f t="shared" si="1"/>
        <v>2000</v>
      </c>
    </row>
    <row r="59" spans="1:34" x14ac:dyDescent="0.35">
      <c r="A59">
        <v>9</v>
      </c>
      <c r="B59" t="s">
        <v>38</v>
      </c>
      <c r="C59">
        <v>4.5</v>
      </c>
      <c r="D59">
        <v>2</v>
      </c>
      <c r="E59">
        <v>0.9</v>
      </c>
      <c r="F59">
        <f t="shared" si="0"/>
        <v>3.6</v>
      </c>
      <c r="G59">
        <f t="shared" si="1"/>
        <v>2000</v>
      </c>
    </row>
    <row r="60" spans="1:34" x14ac:dyDescent="0.35">
      <c r="A60">
        <v>9</v>
      </c>
      <c r="B60" t="s">
        <v>75</v>
      </c>
      <c r="C60">
        <v>3.6</v>
      </c>
      <c r="D60">
        <v>2</v>
      </c>
      <c r="E60">
        <v>0.8</v>
      </c>
      <c r="F60">
        <f t="shared" si="0"/>
        <v>2.8</v>
      </c>
      <c r="G60">
        <f t="shared" si="1"/>
        <v>2000</v>
      </c>
    </row>
    <row r="61" spans="1:34" x14ac:dyDescent="0.35">
      <c r="A61">
        <v>9</v>
      </c>
      <c r="B61" t="s">
        <v>76</v>
      </c>
      <c r="C61">
        <v>4.0999999999999996</v>
      </c>
      <c r="D61">
        <v>2</v>
      </c>
      <c r="E61">
        <v>0.6</v>
      </c>
      <c r="F61">
        <f t="shared" si="0"/>
        <v>3.4999999999999996</v>
      </c>
      <c r="G61">
        <f t="shared" si="1"/>
        <v>2000</v>
      </c>
    </row>
    <row r="62" spans="1:34" x14ac:dyDescent="0.35">
      <c r="A62">
        <v>10</v>
      </c>
      <c r="B62" t="s">
        <v>43</v>
      </c>
      <c r="C62">
        <v>7.6</v>
      </c>
      <c r="D62">
        <v>2</v>
      </c>
      <c r="E62">
        <v>1.9</v>
      </c>
      <c r="F62">
        <f t="shared" si="0"/>
        <v>5.6999999999999993</v>
      </c>
      <c r="G62">
        <f t="shared" si="1"/>
        <v>2000</v>
      </c>
    </row>
    <row r="63" spans="1:34" x14ac:dyDescent="0.35">
      <c r="A63">
        <v>10</v>
      </c>
      <c r="B63" t="s">
        <v>43</v>
      </c>
      <c r="C63">
        <v>8.5</v>
      </c>
      <c r="D63">
        <v>2</v>
      </c>
      <c r="E63">
        <v>1.8</v>
      </c>
      <c r="F63">
        <f t="shared" si="0"/>
        <v>6.7</v>
      </c>
      <c r="G63">
        <f t="shared" si="1"/>
        <v>2000</v>
      </c>
    </row>
    <row r="64" spans="1:34" x14ac:dyDescent="0.35">
      <c r="A64">
        <v>10</v>
      </c>
      <c r="B64" t="s">
        <v>43</v>
      </c>
      <c r="C64">
        <v>8.3000000000000007</v>
      </c>
      <c r="D64">
        <v>2</v>
      </c>
      <c r="E64">
        <v>2.1</v>
      </c>
      <c r="F64">
        <f t="shared" si="0"/>
        <v>6.2000000000000011</v>
      </c>
      <c r="G64">
        <f t="shared" si="1"/>
        <v>2000</v>
      </c>
    </row>
    <row r="65" spans="1:7" x14ac:dyDescent="0.35">
      <c r="A65">
        <v>10</v>
      </c>
      <c r="B65" t="s">
        <v>43</v>
      </c>
      <c r="C65">
        <v>2.1</v>
      </c>
      <c r="D65">
        <v>1.5</v>
      </c>
      <c r="E65">
        <v>1.1000000000000001</v>
      </c>
      <c r="F65">
        <f t="shared" si="0"/>
        <v>1</v>
      </c>
      <c r="G65">
        <f t="shared" si="1"/>
        <v>1500</v>
      </c>
    </row>
    <row r="66" spans="1:7" x14ac:dyDescent="0.35">
      <c r="A66">
        <v>11</v>
      </c>
      <c r="B66" t="s">
        <v>44</v>
      </c>
      <c r="C66">
        <v>13.7</v>
      </c>
      <c r="D66">
        <v>3</v>
      </c>
      <c r="E66">
        <v>3.2</v>
      </c>
      <c r="F66">
        <f t="shared" si="0"/>
        <v>10.5</v>
      </c>
      <c r="G66">
        <f t="shared" si="1"/>
        <v>3000</v>
      </c>
    </row>
    <row r="67" spans="1:7" x14ac:dyDescent="0.35">
      <c r="A67">
        <v>11</v>
      </c>
      <c r="B67" t="s">
        <v>44</v>
      </c>
      <c r="C67">
        <v>9.9</v>
      </c>
      <c r="D67">
        <v>2</v>
      </c>
      <c r="E67">
        <v>1.3</v>
      </c>
      <c r="F67">
        <f t="shared" ref="F67:F94" si="15">C67-E67</f>
        <v>8.6</v>
      </c>
      <c r="G67">
        <f t="shared" ref="G67:G94" si="16">D67*1000</f>
        <v>2000</v>
      </c>
    </row>
    <row r="68" spans="1:7" x14ac:dyDescent="0.35">
      <c r="A68">
        <v>11</v>
      </c>
      <c r="B68" t="s">
        <v>44</v>
      </c>
      <c r="C68">
        <v>16.600000000000001</v>
      </c>
      <c r="D68">
        <v>2</v>
      </c>
      <c r="E68">
        <v>1.5</v>
      </c>
      <c r="F68">
        <f t="shared" si="15"/>
        <v>15.100000000000001</v>
      </c>
      <c r="G68">
        <f t="shared" si="16"/>
        <v>2000</v>
      </c>
    </row>
    <row r="69" spans="1:7" x14ac:dyDescent="0.35">
      <c r="A69">
        <v>11</v>
      </c>
      <c r="B69" t="s">
        <v>44</v>
      </c>
      <c r="C69">
        <v>3.2</v>
      </c>
      <c r="D69">
        <v>1.5</v>
      </c>
      <c r="E69">
        <v>1</v>
      </c>
      <c r="F69">
        <f t="shared" si="15"/>
        <v>2.2000000000000002</v>
      </c>
      <c r="G69">
        <f t="shared" si="16"/>
        <v>1500</v>
      </c>
    </row>
    <row r="70" spans="1:7" x14ac:dyDescent="0.35">
      <c r="A70">
        <v>11</v>
      </c>
      <c r="B70" t="s">
        <v>44</v>
      </c>
      <c r="C70">
        <v>1.3</v>
      </c>
      <c r="D70">
        <v>1.5</v>
      </c>
      <c r="E70">
        <v>0.5</v>
      </c>
      <c r="F70">
        <f t="shared" si="15"/>
        <v>0.8</v>
      </c>
      <c r="G70">
        <f t="shared" si="16"/>
        <v>1500</v>
      </c>
    </row>
    <row r="71" spans="1:7" x14ac:dyDescent="0.35">
      <c r="A71">
        <v>11</v>
      </c>
      <c r="B71" t="s">
        <v>44</v>
      </c>
      <c r="C71">
        <v>1.5</v>
      </c>
      <c r="D71">
        <v>1.5</v>
      </c>
      <c r="E71">
        <v>1.1000000000000001</v>
      </c>
      <c r="F71">
        <f t="shared" si="15"/>
        <v>0.39999999999999991</v>
      </c>
      <c r="G71">
        <f t="shared" si="16"/>
        <v>1500</v>
      </c>
    </row>
    <row r="72" spans="1:7" x14ac:dyDescent="0.35">
      <c r="A72">
        <v>12</v>
      </c>
      <c r="B72" t="s">
        <v>45</v>
      </c>
      <c r="C72">
        <v>4.5</v>
      </c>
      <c r="D72">
        <v>2</v>
      </c>
      <c r="E72">
        <v>2.2000000000000002</v>
      </c>
      <c r="F72">
        <f t="shared" si="15"/>
        <v>2.2999999999999998</v>
      </c>
      <c r="G72">
        <f t="shared" si="16"/>
        <v>2000</v>
      </c>
    </row>
    <row r="73" spans="1:7" x14ac:dyDescent="0.35">
      <c r="A73">
        <v>12</v>
      </c>
      <c r="B73" t="s">
        <v>45</v>
      </c>
      <c r="C73">
        <v>2.7</v>
      </c>
      <c r="D73">
        <v>2</v>
      </c>
      <c r="E73">
        <v>1.4</v>
      </c>
      <c r="F73">
        <f t="shared" si="15"/>
        <v>1.3000000000000003</v>
      </c>
      <c r="G73">
        <f t="shared" si="16"/>
        <v>2000</v>
      </c>
    </row>
    <row r="74" spans="1:7" x14ac:dyDescent="0.35">
      <c r="A74">
        <v>12</v>
      </c>
      <c r="B74" t="s">
        <v>45</v>
      </c>
      <c r="C74">
        <v>4.5999999999999996</v>
      </c>
      <c r="D74">
        <v>2</v>
      </c>
      <c r="E74">
        <v>1.4</v>
      </c>
      <c r="F74">
        <f t="shared" si="15"/>
        <v>3.1999999999999997</v>
      </c>
      <c r="G74">
        <f t="shared" si="16"/>
        <v>2000</v>
      </c>
    </row>
    <row r="75" spans="1:7" x14ac:dyDescent="0.35">
      <c r="A75">
        <v>12</v>
      </c>
      <c r="B75" t="s">
        <v>45</v>
      </c>
      <c r="C75">
        <v>2.2000000000000002</v>
      </c>
      <c r="D75">
        <v>2</v>
      </c>
      <c r="E75">
        <v>1.4</v>
      </c>
      <c r="F75">
        <f t="shared" si="15"/>
        <v>0.80000000000000027</v>
      </c>
      <c r="G75">
        <f t="shared" si="16"/>
        <v>2000</v>
      </c>
    </row>
    <row r="76" spans="1:7" x14ac:dyDescent="0.35">
      <c r="A76">
        <v>12</v>
      </c>
      <c r="B76" t="s">
        <v>45</v>
      </c>
      <c r="C76">
        <v>1.4</v>
      </c>
      <c r="D76">
        <v>1.5</v>
      </c>
      <c r="E76">
        <v>1.4</v>
      </c>
      <c r="F76">
        <f t="shared" si="15"/>
        <v>0</v>
      </c>
      <c r="G76">
        <f t="shared" si="16"/>
        <v>1500</v>
      </c>
    </row>
    <row r="77" spans="1:7" x14ac:dyDescent="0.35">
      <c r="A77">
        <v>12</v>
      </c>
      <c r="B77" t="s">
        <v>45</v>
      </c>
      <c r="C77">
        <v>1.4</v>
      </c>
      <c r="D77">
        <v>1.5</v>
      </c>
      <c r="E77">
        <v>1.4</v>
      </c>
      <c r="F77">
        <f t="shared" si="15"/>
        <v>0</v>
      </c>
      <c r="G77">
        <f t="shared" si="16"/>
        <v>1500</v>
      </c>
    </row>
    <row r="78" spans="1:7" x14ac:dyDescent="0.35">
      <c r="A78">
        <v>13</v>
      </c>
      <c r="B78" t="s">
        <v>46</v>
      </c>
      <c r="C78">
        <v>8.8000000000000007</v>
      </c>
      <c r="D78">
        <v>2.5</v>
      </c>
      <c r="E78">
        <v>4</v>
      </c>
      <c r="F78">
        <f t="shared" si="15"/>
        <v>4.8000000000000007</v>
      </c>
      <c r="G78">
        <f t="shared" si="16"/>
        <v>2500</v>
      </c>
    </row>
    <row r="79" spans="1:7" x14ac:dyDescent="0.35">
      <c r="A79">
        <v>13</v>
      </c>
      <c r="B79" t="s">
        <v>46</v>
      </c>
      <c r="C79">
        <v>7.8</v>
      </c>
      <c r="D79">
        <v>1.5</v>
      </c>
      <c r="E79">
        <v>3.5</v>
      </c>
      <c r="F79">
        <f t="shared" si="15"/>
        <v>4.3</v>
      </c>
      <c r="G79">
        <f t="shared" si="16"/>
        <v>1500</v>
      </c>
    </row>
    <row r="80" spans="1:7" x14ac:dyDescent="0.35">
      <c r="A80">
        <v>13</v>
      </c>
      <c r="B80" t="s">
        <v>46</v>
      </c>
      <c r="C80">
        <v>1.5</v>
      </c>
      <c r="D80">
        <v>1.5</v>
      </c>
      <c r="E80">
        <v>0.2</v>
      </c>
      <c r="F80">
        <f t="shared" si="15"/>
        <v>1.3</v>
      </c>
      <c r="G80">
        <f t="shared" si="16"/>
        <v>1500</v>
      </c>
    </row>
    <row r="81" spans="1:7" x14ac:dyDescent="0.35">
      <c r="A81">
        <v>13</v>
      </c>
      <c r="B81" t="s">
        <v>46</v>
      </c>
      <c r="C81">
        <v>4</v>
      </c>
      <c r="D81">
        <v>2</v>
      </c>
      <c r="E81">
        <v>1.2</v>
      </c>
      <c r="F81">
        <f t="shared" si="15"/>
        <v>2.8</v>
      </c>
      <c r="G81">
        <f t="shared" si="16"/>
        <v>2000</v>
      </c>
    </row>
    <row r="82" spans="1:7" x14ac:dyDescent="0.35">
      <c r="A82">
        <v>13</v>
      </c>
      <c r="B82" t="s">
        <v>46</v>
      </c>
      <c r="C82">
        <v>3.5</v>
      </c>
      <c r="D82">
        <v>2</v>
      </c>
      <c r="E82">
        <v>1.5</v>
      </c>
      <c r="F82">
        <f t="shared" si="15"/>
        <v>2</v>
      </c>
      <c r="G82">
        <f t="shared" si="16"/>
        <v>2000</v>
      </c>
    </row>
    <row r="83" spans="1:7" x14ac:dyDescent="0.35">
      <c r="A83">
        <v>14</v>
      </c>
      <c r="B83" t="s">
        <v>72</v>
      </c>
      <c r="C83">
        <v>7.2</v>
      </c>
      <c r="D83">
        <v>3</v>
      </c>
      <c r="E83">
        <v>2.4</v>
      </c>
      <c r="F83">
        <f t="shared" si="15"/>
        <v>4.8000000000000007</v>
      </c>
      <c r="G83">
        <f t="shared" si="16"/>
        <v>3000</v>
      </c>
    </row>
    <row r="84" spans="1:7" x14ac:dyDescent="0.35">
      <c r="A84">
        <v>14</v>
      </c>
      <c r="B84" t="s">
        <v>72</v>
      </c>
      <c r="C84">
        <v>23.2</v>
      </c>
      <c r="D84">
        <v>3</v>
      </c>
      <c r="E84">
        <v>6</v>
      </c>
      <c r="F84">
        <f t="shared" si="15"/>
        <v>17.2</v>
      </c>
      <c r="G84">
        <f t="shared" si="16"/>
        <v>3000</v>
      </c>
    </row>
    <row r="85" spans="1:7" x14ac:dyDescent="0.35">
      <c r="A85">
        <v>14</v>
      </c>
      <c r="B85" t="s">
        <v>72</v>
      </c>
      <c r="C85">
        <v>10.8</v>
      </c>
      <c r="D85">
        <v>3</v>
      </c>
      <c r="E85">
        <v>3.6</v>
      </c>
      <c r="F85">
        <f t="shared" si="15"/>
        <v>7.2000000000000011</v>
      </c>
      <c r="G85">
        <f t="shared" si="16"/>
        <v>3000</v>
      </c>
    </row>
    <row r="86" spans="1:7" x14ac:dyDescent="0.35">
      <c r="A86">
        <v>14</v>
      </c>
      <c r="B86" t="s">
        <v>72</v>
      </c>
      <c r="C86">
        <v>2.4</v>
      </c>
      <c r="D86">
        <v>1.5</v>
      </c>
      <c r="E86">
        <v>0.2</v>
      </c>
      <c r="F86">
        <f t="shared" si="15"/>
        <v>2.1999999999999997</v>
      </c>
      <c r="G86">
        <f t="shared" si="16"/>
        <v>1500</v>
      </c>
    </row>
    <row r="87" spans="1:7" x14ac:dyDescent="0.35">
      <c r="A87">
        <v>14</v>
      </c>
      <c r="B87" t="s">
        <v>72</v>
      </c>
      <c r="C87">
        <v>6</v>
      </c>
      <c r="D87">
        <v>2.5</v>
      </c>
      <c r="E87">
        <v>1.7</v>
      </c>
      <c r="F87">
        <f t="shared" si="15"/>
        <v>4.3</v>
      </c>
      <c r="G87">
        <f t="shared" si="16"/>
        <v>2500</v>
      </c>
    </row>
    <row r="88" spans="1:7" x14ac:dyDescent="0.35">
      <c r="A88">
        <v>14</v>
      </c>
      <c r="B88" t="s">
        <v>72</v>
      </c>
      <c r="C88">
        <v>3.6</v>
      </c>
      <c r="D88">
        <v>3</v>
      </c>
      <c r="E88">
        <v>1.4</v>
      </c>
      <c r="F88">
        <f t="shared" si="15"/>
        <v>2.2000000000000002</v>
      </c>
      <c r="G88">
        <f t="shared" si="16"/>
        <v>3000</v>
      </c>
    </row>
    <row r="89" spans="1:7" x14ac:dyDescent="0.35">
      <c r="A89">
        <v>15</v>
      </c>
      <c r="B89" t="s">
        <v>73</v>
      </c>
      <c r="C89">
        <v>3.5</v>
      </c>
      <c r="D89">
        <v>2.5</v>
      </c>
      <c r="E89">
        <v>2.2999999999999998</v>
      </c>
      <c r="F89">
        <f t="shared" si="15"/>
        <v>1.2000000000000002</v>
      </c>
      <c r="G89">
        <f t="shared" si="16"/>
        <v>2500</v>
      </c>
    </row>
    <row r="90" spans="1:7" x14ac:dyDescent="0.35">
      <c r="A90">
        <v>15</v>
      </c>
      <c r="B90" t="s">
        <v>73</v>
      </c>
      <c r="C90">
        <v>4</v>
      </c>
      <c r="D90">
        <v>2.5</v>
      </c>
      <c r="E90">
        <v>3.1</v>
      </c>
      <c r="F90">
        <f t="shared" si="15"/>
        <v>0.89999999999999991</v>
      </c>
      <c r="G90">
        <f t="shared" si="16"/>
        <v>2500</v>
      </c>
    </row>
    <row r="91" spans="1:7" x14ac:dyDescent="0.35">
      <c r="A91">
        <v>15</v>
      </c>
      <c r="B91" t="s">
        <v>73</v>
      </c>
      <c r="C91">
        <v>3.1</v>
      </c>
      <c r="D91">
        <v>2.5</v>
      </c>
      <c r="E91">
        <v>2.1</v>
      </c>
      <c r="F91">
        <f t="shared" si="15"/>
        <v>1</v>
      </c>
      <c r="G91">
        <f t="shared" si="16"/>
        <v>2500</v>
      </c>
    </row>
    <row r="92" spans="1:7" x14ac:dyDescent="0.35">
      <c r="A92">
        <v>15</v>
      </c>
      <c r="B92" t="s">
        <v>73</v>
      </c>
      <c r="C92">
        <v>2.2999999999999998</v>
      </c>
      <c r="D92">
        <v>2.5</v>
      </c>
      <c r="E92">
        <v>1.1000000000000001</v>
      </c>
      <c r="F92">
        <f t="shared" si="15"/>
        <v>1.1999999999999997</v>
      </c>
      <c r="G92">
        <f t="shared" si="16"/>
        <v>2500</v>
      </c>
    </row>
    <row r="93" spans="1:7" x14ac:dyDescent="0.35">
      <c r="A93">
        <v>15</v>
      </c>
      <c r="B93" t="s">
        <v>73</v>
      </c>
      <c r="C93">
        <v>3.1</v>
      </c>
      <c r="D93">
        <v>2.5</v>
      </c>
      <c r="E93">
        <v>1</v>
      </c>
      <c r="F93">
        <f t="shared" si="15"/>
        <v>2.1</v>
      </c>
      <c r="G93">
        <f t="shared" si="16"/>
        <v>2500</v>
      </c>
    </row>
    <row r="94" spans="1:7" x14ac:dyDescent="0.35">
      <c r="A94">
        <v>15</v>
      </c>
      <c r="B94" t="s">
        <v>73</v>
      </c>
      <c r="C94">
        <v>2.1</v>
      </c>
      <c r="D94">
        <v>2.5</v>
      </c>
      <c r="E94">
        <v>1.5</v>
      </c>
      <c r="F94">
        <f t="shared" si="15"/>
        <v>0.60000000000000009</v>
      </c>
      <c r="G94">
        <f t="shared" si="16"/>
        <v>2500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7FF1-C431-4CCD-AA2D-84F1621A8652}">
  <dimension ref="A1:G94"/>
  <sheetViews>
    <sheetView workbookViewId="0">
      <selection activeCell="C1" activeCellId="2" sqref="A1:A1048576 B1:B1048576 C1:C1048576"/>
    </sheetView>
  </sheetViews>
  <sheetFormatPr defaultRowHeight="14.5" x14ac:dyDescent="0.35"/>
  <sheetData>
    <row r="1" spans="1:5" x14ac:dyDescent="0.35">
      <c r="A1" t="s">
        <v>77</v>
      </c>
      <c r="B1" t="s">
        <v>49</v>
      </c>
      <c r="C1" t="s">
        <v>51</v>
      </c>
      <c r="D1" t="s">
        <v>74</v>
      </c>
      <c r="E1" t="s">
        <v>82</v>
      </c>
    </row>
    <row r="2" spans="1:5" x14ac:dyDescent="0.35">
      <c r="A2">
        <v>500</v>
      </c>
      <c r="B2">
        <v>1.2</v>
      </c>
      <c r="C2">
        <v>0.7</v>
      </c>
      <c r="D2">
        <v>0.5</v>
      </c>
      <c r="E2">
        <f>A2/D2</f>
        <v>1000</v>
      </c>
    </row>
    <row r="3" spans="1:5" x14ac:dyDescent="0.35">
      <c r="A3">
        <v>500</v>
      </c>
      <c r="B3">
        <v>1.2</v>
      </c>
      <c r="C3">
        <v>0</v>
      </c>
      <c r="D3">
        <v>1.2</v>
      </c>
      <c r="E3">
        <f t="shared" ref="E3:E66" si="0">A3/D3</f>
        <v>416.66666666666669</v>
      </c>
    </row>
    <row r="4" spans="1:5" x14ac:dyDescent="0.35">
      <c r="A4">
        <v>500</v>
      </c>
      <c r="B4">
        <v>1.2</v>
      </c>
      <c r="C4">
        <v>0.9</v>
      </c>
      <c r="D4">
        <v>0.29999999999999993</v>
      </c>
      <c r="E4">
        <f t="shared" si="0"/>
        <v>1666.666666666667</v>
      </c>
    </row>
    <row r="5" spans="1:5" x14ac:dyDescent="0.35">
      <c r="A5">
        <v>500</v>
      </c>
      <c r="B5">
        <v>1.2</v>
      </c>
      <c r="C5">
        <v>0</v>
      </c>
      <c r="D5">
        <v>1.2</v>
      </c>
      <c r="E5">
        <f t="shared" si="0"/>
        <v>416.66666666666669</v>
      </c>
    </row>
    <row r="6" spans="1:5" x14ac:dyDescent="0.35">
      <c r="A6">
        <v>500</v>
      </c>
      <c r="B6">
        <v>1.2</v>
      </c>
      <c r="C6">
        <v>0.5</v>
      </c>
      <c r="D6">
        <v>0.7</v>
      </c>
      <c r="E6">
        <f t="shared" si="0"/>
        <v>714.28571428571433</v>
      </c>
    </row>
    <row r="7" spans="1:5" x14ac:dyDescent="0.35">
      <c r="A7">
        <v>500</v>
      </c>
      <c r="B7">
        <v>5.9</v>
      </c>
      <c r="C7">
        <v>3.2</v>
      </c>
      <c r="D7">
        <v>2.7</v>
      </c>
      <c r="E7">
        <f t="shared" si="0"/>
        <v>185.18518518518516</v>
      </c>
    </row>
    <row r="8" spans="1:5" x14ac:dyDescent="0.35">
      <c r="A8">
        <v>500</v>
      </c>
      <c r="B8">
        <v>4.5999999999999996</v>
      </c>
      <c r="C8">
        <v>2.8</v>
      </c>
      <c r="D8">
        <v>1.7999999999999998</v>
      </c>
      <c r="E8">
        <f t="shared" si="0"/>
        <v>277.77777777777783</v>
      </c>
    </row>
    <row r="9" spans="1:5" x14ac:dyDescent="0.35">
      <c r="A9">
        <v>500</v>
      </c>
      <c r="B9">
        <v>5.2</v>
      </c>
      <c r="C9">
        <v>3.7</v>
      </c>
      <c r="D9">
        <v>1.5</v>
      </c>
      <c r="E9">
        <f t="shared" si="0"/>
        <v>333.33333333333331</v>
      </c>
    </row>
    <row r="10" spans="1:5" x14ac:dyDescent="0.35">
      <c r="A10">
        <v>100</v>
      </c>
      <c r="B10">
        <v>2.9</v>
      </c>
      <c r="C10">
        <v>0.1</v>
      </c>
      <c r="D10">
        <v>2.8</v>
      </c>
      <c r="E10">
        <f t="shared" si="0"/>
        <v>35.714285714285715</v>
      </c>
    </row>
    <row r="11" spans="1:5" x14ac:dyDescent="0.35">
      <c r="A11">
        <v>100</v>
      </c>
      <c r="B11">
        <v>2.5</v>
      </c>
      <c r="C11">
        <v>0.1</v>
      </c>
      <c r="D11">
        <v>2.4</v>
      </c>
      <c r="E11">
        <f t="shared" si="0"/>
        <v>41.666666666666671</v>
      </c>
    </row>
    <row r="12" spans="1:5" x14ac:dyDescent="0.35">
      <c r="A12">
        <v>100</v>
      </c>
      <c r="B12">
        <v>3.2</v>
      </c>
      <c r="C12">
        <v>3.2</v>
      </c>
      <c r="D12">
        <v>0</v>
      </c>
      <c r="E12" t="e">
        <f t="shared" si="0"/>
        <v>#DIV/0!</v>
      </c>
    </row>
    <row r="13" spans="1:5" x14ac:dyDescent="0.35">
      <c r="A13">
        <v>100</v>
      </c>
      <c r="B13">
        <v>2.8</v>
      </c>
      <c r="C13">
        <v>2.1</v>
      </c>
      <c r="D13">
        <v>0.69999999999999973</v>
      </c>
      <c r="E13">
        <f t="shared" si="0"/>
        <v>142.85714285714292</v>
      </c>
    </row>
    <row r="14" spans="1:5" x14ac:dyDescent="0.35">
      <c r="A14">
        <v>100</v>
      </c>
      <c r="B14">
        <v>3.7</v>
      </c>
      <c r="C14">
        <v>2.5</v>
      </c>
      <c r="D14">
        <v>1.2000000000000002</v>
      </c>
      <c r="E14">
        <f t="shared" si="0"/>
        <v>83.333333333333314</v>
      </c>
    </row>
    <row r="15" spans="1:5" x14ac:dyDescent="0.35">
      <c r="A15">
        <v>200</v>
      </c>
      <c r="B15">
        <v>3.2</v>
      </c>
      <c r="C15">
        <v>3.2</v>
      </c>
      <c r="D15">
        <v>0</v>
      </c>
      <c r="E15" t="e">
        <f t="shared" si="0"/>
        <v>#DIV/0!</v>
      </c>
    </row>
    <row r="16" spans="1:5" x14ac:dyDescent="0.35">
      <c r="A16">
        <v>200</v>
      </c>
      <c r="B16">
        <v>2.1</v>
      </c>
      <c r="C16">
        <v>2.1</v>
      </c>
      <c r="D16">
        <v>0</v>
      </c>
      <c r="E16" t="e">
        <f t="shared" si="0"/>
        <v>#DIV/0!</v>
      </c>
    </row>
    <row r="17" spans="1:5" x14ac:dyDescent="0.35">
      <c r="A17">
        <v>200</v>
      </c>
      <c r="B17">
        <v>2.5</v>
      </c>
      <c r="C17">
        <v>2.5</v>
      </c>
      <c r="D17">
        <v>0</v>
      </c>
      <c r="E17" t="e">
        <f t="shared" si="0"/>
        <v>#DIV/0!</v>
      </c>
    </row>
    <row r="18" spans="1:5" x14ac:dyDescent="0.35">
      <c r="A18">
        <v>500</v>
      </c>
      <c r="B18">
        <v>3.2</v>
      </c>
      <c r="C18">
        <v>2.7</v>
      </c>
      <c r="D18">
        <v>0.5</v>
      </c>
      <c r="E18">
        <f t="shared" si="0"/>
        <v>1000</v>
      </c>
    </row>
    <row r="19" spans="1:5" x14ac:dyDescent="0.35">
      <c r="A19">
        <v>500</v>
      </c>
      <c r="B19">
        <v>2.1</v>
      </c>
      <c r="C19">
        <v>1.4</v>
      </c>
      <c r="D19">
        <v>0.70000000000000018</v>
      </c>
      <c r="E19">
        <f t="shared" si="0"/>
        <v>714.28571428571411</v>
      </c>
    </row>
    <row r="20" spans="1:5" x14ac:dyDescent="0.35">
      <c r="A20">
        <v>500</v>
      </c>
      <c r="B20">
        <v>2.5</v>
      </c>
      <c r="C20">
        <v>2.4</v>
      </c>
      <c r="D20">
        <v>0.10000000000000009</v>
      </c>
      <c r="E20">
        <f t="shared" si="0"/>
        <v>4999.9999999999955</v>
      </c>
    </row>
    <row r="21" spans="1:5" x14ac:dyDescent="0.35">
      <c r="A21">
        <v>1000</v>
      </c>
      <c r="B21">
        <v>2.7</v>
      </c>
      <c r="C21">
        <v>1.1000000000000001</v>
      </c>
      <c r="D21">
        <v>1.6</v>
      </c>
      <c r="E21">
        <f t="shared" si="0"/>
        <v>625</v>
      </c>
    </row>
    <row r="22" spans="1:5" x14ac:dyDescent="0.35">
      <c r="A22">
        <v>500</v>
      </c>
      <c r="B22">
        <v>1.4</v>
      </c>
      <c r="C22">
        <v>1.4</v>
      </c>
      <c r="D22">
        <v>0</v>
      </c>
      <c r="E22" t="e">
        <f t="shared" si="0"/>
        <v>#DIV/0!</v>
      </c>
    </row>
    <row r="23" spans="1:5" x14ac:dyDescent="0.35">
      <c r="A23">
        <v>1000</v>
      </c>
      <c r="B23">
        <v>2.4</v>
      </c>
      <c r="C23">
        <v>1.4</v>
      </c>
      <c r="D23">
        <v>1</v>
      </c>
      <c r="E23">
        <f t="shared" si="0"/>
        <v>1000</v>
      </c>
    </row>
    <row r="24" spans="1:5" x14ac:dyDescent="0.35">
      <c r="A24">
        <v>1000</v>
      </c>
      <c r="B24">
        <v>1.4</v>
      </c>
      <c r="C24">
        <v>0.8</v>
      </c>
      <c r="D24">
        <v>0.59999999999999987</v>
      </c>
      <c r="E24">
        <f t="shared" si="0"/>
        <v>1666.666666666667</v>
      </c>
    </row>
    <row r="25" spans="1:5" x14ac:dyDescent="0.35">
      <c r="A25">
        <v>1000</v>
      </c>
      <c r="B25">
        <v>1.4</v>
      </c>
      <c r="C25">
        <v>0.6</v>
      </c>
      <c r="D25">
        <v>0.79999999999999993</v>
      </c>
      <c r="E25">
        <f t="shared" si="0"/>
        <v>1250</v>
      </c>
    </row>
    <row r="26" spans="1:5" x14ac:dyDescent="0.35">
      <c r="A26">
        <v>500</v>
      </c>
      <c r="B26">
        <v>3</v>
      </c>
      <c r="C26">
        <v>1.1000000000000001</v>
      </c>
      <c r="D26">
        <v>1.9</v>
      </c>
      <c r="E26">
        <f t="shared" si="0"/>
        <v>263.15789473684214</v>
      </c>
    </row>
    <row r="27" spans="1:5" x14ac:dyDescent="0.35">
      <c r="A27">
        <v>500</v>
      </c>
      <c r="B27">
        <v>3.3</v>
      </c>
      <c r="C27">
        <v>1.8</v>
      </c>
      <c r="D27">
        <v>1.4999999999999998</v>
      </c>
      <c r="E27">
        <f t="shared" si="0"/>
        <v>333.33333333333337</v>
      </c>
    </row>
    <row r="28" spans="1:5" x14ac:dyDescent="0.35">
      <c r="A28">
        <v>100</v>
      </c>
      <c r="B28">
        <v>1.8</v>
      </c>
      <c r="C28">
        <v>0.1</v>
      </c>
      <c r="D28">
        <v>1.7</v>
      </c>
      <c r="E28">
        <f t="shared" si="0"/>
        <v>58.82352941176471</v>
      </c>
    </row>
    <row r="29" spans="1:5" x14ac:dyDescent="0.35">
      <c r="A29">
        <v>100</v>
      </c>
      <c r="B29">
        <v>1.5</v>
      </c>
      <c r="C29">
        <v>0.9</v>
      </c>
      <c r="D29">
        <v>0.6</v>
      </c>
      <c r="E29">
        <f t="shared" si="0"/>
        <v>166.66666666666669</v>
      </c>
    </row>
    <row r="30" spans="1:5" x14ac:dyDescent="0.35">
      <c r="A30">
        <v>1500</v>
      </c>
      <c r="B30">
        <v>11.4</v>
      </c>
      <c r="C30">
        <v>5.3</v>
      </c>
      <c r="D30">
        <v>6.1000000000000005</v>
      </c>
      <c r="E30">
        <f t="shared" si="0"/>
        <v>245.90163934426226</v>
      </c>
    </row>
    <row r="31" spans="1:5" x14ac:dyDescent="0.35">
      <c r="A31">
        <v>1000</v>
      </c>
      <c r="B31">
        <v>11.1</v>
      </c>
      <c r="C31">
        <v>5.7</v>
      </c>
      <c r="D31">
        <v>5.3999999999999995</v>
      </c>
      <c r="E31">
        <f t="shared" si="0"/>
        <v>185.18518518518519</v>
      </c>
    </row>
    <row r="32" spans="1:5" x14ac:dyDescent="0.35">
      <c r="A32">
        <v>1000</v>
      </c>
      <c r="B32">
        <v>7.4</v>
      </c>
      <c r="C32">
        <v>4.7</v>
      </c>
      <c r="D32">
        <v>2.7</v>
      </c>
      <c r="E32">
        <f t="shared" si="0"/>
        <v>370.37037037037032</v>
      </c>
    </row>
    <row r="33" spans="1:7" x14ac:dyDescent="0.35">
      <c r="A33">
        <v>1000</v>
      </c>
      <c r="B33">
        <v>5.3</v>
      </c>
      <c r="C33">
        <v>4.0999999999999996</v>
      </c>
      <c r="D33">
        <v>1.2000000000000002</v>
      </c>
      <c r="E33">
        <f t="shared" si="0"/>
        <v>833.33333333333326</v>
      </c>
    </row>
    <row r="34" spans="1:7" x14ac:dyDescent="0.35">
      <c r="A34">
        <v>500</v>
      </c>
      <c r="B34">
        <v>5.7</v>
      </c>
      <c r="C34">
        <v>5.0999999999999996</v>
      </c>
      <c r="D34">
        <v>0.60000000000000053</v>
      </c>
      <c r="E34">
        <f t="shared" si="0"/>
        <v>833.33333333333258</v>
      </c>
    </row>
    <row r="35" spans="1:7" x14ac:dyDescent="0.35">
      <c r="A35">
        <v>1000</v>
      </c>
      <c r="B35">
        <v>4.7</v>
      </c>
      <c r="C35">
        <v>2.4</v>
      </c>
      <c r="D35">
        <v>2.3000000000000003</v>
      </c>
      <c r="E35">
        <f t="shared" si="0"/>
        <v>434.78260869565213</v>
      </c>
    </row>
    <row r="36" spans="1:7" x14ac:dyDescent="0.35">
      <c r="A36">
        <v>1500</v>
      </c>
      <c r="B36">
        <v>2.1</v>
      </c>
      <c r="C36">
        <v>0.4</v>
      </c>
      <c r="D36">
        <v>1.7000000000000002</v>
      </c>
      <c r="E36">
        <f t="shared" si="0"/>
        <v>882.35294117647049</v>
      </c>
    </row>
    <row r="37" spans="1:7" x14ac:dyDescent="0.35">
      <c r="A37">
        <v>1500</v>
      </c>
      <c r="B37">
        <v>3</v>
      </c>
      <c r="C37">
        <v>0.35</v>
      </c>
      <c r="D37">
        <v>2.65</v>
      </c>
      <c r="E37">
        <f t="shared" si="0"/>
        <v>566.03773584905662</v>
      </c>
    </row>
    <row r="38" spans="1:7" x14ac:dyDescent="0.35">
      <c r="A38">
        <v>1500</v>
      </c>
      <c r="B38">
        <v>1.8</v>
      </c>
      <c r="C38">
        <v>0.2</v>
      </c>
      <c r="D38">
        <v>1.6</v>
      </c>
      <c r="E38">
        <f t="shared" si="0"/>
        <v>937.5</v>
      </c>
      <c r="G38" t="e">
        <f>MAX(E2:E94)</f>
        <v>#DIV/0!</v>
      </c>
    </row>
    <row r="39" spans="1:7" x14ac:dyDescent="0.35">
      <c r="A39">
        <v>1500</v>
      </c>
      <c r="B39">
        <v>6.9</v>
      </c>
      <c r="C39">
        <v>4.2</v>
      </c>
      <c r="D39">
        <v>2.7</v>
      </c>
      <c r="E39">
        <f t="shared" si="0"/>
        <v>555.55555555555554</v>
      </c>
    </row>
    <row r="40" spans="1:7" x14ac:dyDescent="0.35">
      <c r="A40">
        <v>1500</v>
      </c>
      <c r="B40">
        <v>5.9</v>
      </c>
      <c r="C40">
        <v>4</v>
      </c>
      <c r="D40">
        <v>1.9000000000000004</v>
      </c>
      <c r="E40">
        <f t="shared" si="0"/>
        <v>789.47368421052613</v>
      </c>
    </row>
    <row r="41" spans="1:7" x14ac:dyDescent="0.35">
      <c r="A41">
        <v>1500</v>
      </c>
      <c r="B41">
        <v>6.7</v>
      </c>
      <c r="C41">
        <v>3.9</v>
      </c>
      <c r="D41">
        <v>2.8000000000000003</v>
      </c>
      <c r="E41">
        <f t="shared" si="0"/>
        <v>535.71428571428567</v>
      </c>
    </row>
    <row r="42" spans="1:7" x14ac:dyDescent="0.35">
      <c r="A42">
        <v>2000</v>
      </c>
      <c r="B42">
        <v>4.2</v>
      </c>
      <c r="C42">
        <v>4</v>
      </c>
      <c r="D42">
        <v>0.20000000000000018</v>
      </c>
      <c r="E42">
        <f t="shared" si="0"/>
        <v>9999.9999999999909</v>
      </c>
    </row>
    <row r="43" spans="1:7" x14ac:dyDescent="0.35">
      <c r="A43">
        <v>2000</v>
      </c>
      <c r="B43">
        <v>4</v>
      </c>
      <c r="C43">
        <v>3.4</v>
      </c>
      <c r="D43">
        <v>0.60000000000000009</v>
      </c>
      <c r="E43">
        <f t="shared" si="0"/>
        <v>3333.333333333333</v>
      </c>
    </row>
    <row r="44" spans="1:7" x14ac:dyDescent="0.35">
      <c r="A44">
        <v>2000</v>
      </c>
      <c r="B44">
        <v>3.9</v>
      </c>
      <c r="C44">
        <v>1.7</v>
      </c>
      <c r="D44">
        <v>2.2000000000000002</v>
      </c>
      <c r="E44">
        <f t="shared" si="0"/>
        <v>909.09090909090901</v>
      </c>
    </row>
    <row r="45" spans="1:7" x14ac:dyDescent="0.35">
      <c r="A45">
        <v>2000</v>
      </c>
      <c r="B45">
        <v>4</v>
      </c>
      <c r="C45">
        <v>2.2999999999999998</v>
      </c>
      <c r="D45">
        <v>1.7000000000000002</v>
      </c>
      <c r="E45">
        <f t="shared" si="0"/>
        <v>1176.4705882352939</v>
      </c>
    </row>
    <row r="46" spans="1:7" x14ac:dyDescent="0.35">
      <c r="A46">
        <v>2000</v>
      </c>
      <c r="B46">
        <v>3.4</v>
      </c>
      <c r="C46">
        <v>3.3</v>
      </c>
      <c r="D46">
        <v>0.10000000000000009</v>
      </c>
      <c r="E46">
        <f t="shared" si="0"/>
        <v>19999.999999999982</v>
      </c>
    </row>
    <row r="47" spans="1:7" x14ac:dyDescent="0.35">
      <c r="A47">
        <v>1100</v>
      </c>
      <c r="B47">
        <v>1.7</v>
      </c>
      <c r="C47">
        <v>0.8</v>
      </c>
      <c r="D47">
        <v>0.89999999999999991</v>
      </c>
      <c r="E47">
        <f t="shared" si="0"/>
        <v>1222.2222222222224</v>
      </c>
    </row>
    <row r="48" spans="1:7" x14ac:dyDescent="0.35">
      <c r="A48">
        <v>2500</v>
      </c>
      <c r="B48">
        <v>2.2999999999999998</v>
      </c>
      <c r="C48">
        <v>0.1</v>
      </c>
      <c r="D48">
        <v>2.1999999999999997</v>
      </c>
      <c r="E48">
        <f t="shared" si="0"/>
        <v>1136.3636363636365</v>
      </c>
    </row>
    <row r="49" spans="1:5" x14ac:dyDescent="0.35">
      <c r="A49">
        <v>2500</v>
      </c>
      <c r="B49">
        <v>3.3</v>
      </c>
      <c r="C49">
        <v>0.5</v>
      </c>
      <c r="D49">
        <v>2.8</v>
      </c>
      <c r="E49">
        <f t="shared" si="0"/>
        <v>892.85714285714289</v>
      </c>
    </row>
    <row r="50" spans="1:5" x14ac:dyDescent="0.35">
      <c r="A50">
        <v>2000</v>
      </c>
      <c r="B50">
        <v>10.6</v>
      </c>
      <c r="C50">
        <v>3.1</v>
      </c>
      <c r="D50">
        <v>7.5</v>
      </c>
      <c r="E50">
        <f t="shared" si="0"/>
        <v>266.66666666666669</v>
      </c>
    </row>
    <row r="51" spans="1:5" x14ac:dyDescent="0.35">
      <c r="A51">
        <v>2000</v>
      </c>
      <c r="B51">
        <v>9.3000000000000007</v>
      </c>
      <c r="C51">
        <v>3.1</v>
      </c>
      <c r="D51">
        <v>6.2000000000000011</v>
      </c>
      <c r="E51">
        <f t="shared" si="0"/>
        <v>322.58064516129025</v>
      </c>
    </row>
    <row r="52" spans="1:5" x14ac:dyDescent="0.35">
      <c r="A52">
        <v>2000</v>
      </c>
      <c r="B52">
        <v>10.6</v>
      </c>
      <c r="C52">
        <v>4.8</v>
      </c>
      <c r="D52">
        <v>5.8</v>
      </c>
      <c r="E52">
        <f t="shared" si="0"/>
        <v>344.82758620689657</v>
      </c>
    </row>
    <row r="53" spans="1:5" x14ac:dyDescent="0.35">
      <c r="A53">
        <v>1500</v>
      </c>
      <c r="B53">
        <v>3.1</v>
      </c>
      <c r="C53">
        <v>1</v>
      </c>
      <c r="D53">
        <v>2.1</v>
      </c>
      <c r="E53">
        <f t="shared" si="0"/>
        <v>714.28571428571422</v>
      </c>
    </row>
    <row r="54" spans="1:5" x14ac:dyDescent="0.35">
      <c r="A54">
        <v>1500</v>
      </c>
      <c r="B54">
        <v>3.1</v>
      </c>
      <c r="C54">
        <v>1</v>
      </c>
      <c r="D54">
        <v>2.1</v>
      </c>
      <c r="E54">
        <f t="shared" si="0"/>
        <v>714.28571428571422</v>
      </c>
    </row>
    <row r="55" spans="1:5" x14ac:dyDescent="0.35">
      <c r="A55">
        <v>2000</v>
      </c>
      <c r="B55">
        <v>4.8</v>
      </c>
      <c r="C55">
        <v>1</v>
      </c>
      <c r="D55">
        <v>3.8</v>
      </c>
      <c r="E55">
        <f t="shared" si="0"/>
        <v>526.31578947368428</v>
      </c>
    </row>
    <row r="56" spans="1:5" x14ac:dyDescent="0.35">
      <c r="A56">
        <v>2000</v>
      </c>
      <c r="B56">
        <v>3.3</v>
      </c>
      <c r="C56">
        <v>0.9</v>
      </c>
      <c r="D56">
        <v>2.4</v>
      </c>
      <c r="E56">
        <f t="shared" si="0"/>
        <v>833.33333333333337</v>
      </c>
    </row>
    <row r="57" spans="1:5" x14ac:dyDescent="0.35">
      <c r="A57">
        <v>1500</v>
      </c>
      <c r="B57">
        <v>2.7</v>
      </c>
      <c r="C57">
        <v>1</v>
      </c>
      <c r="D57">
        <v>1.7000000000000002</v>
      </c>
      <c r="E57">
        <f t="shared" si="0"/>
        <v>882.35294117647049</v>
      </c>
    </row>
    <row r="58" spans="1:5" x14ac:dyDescent="0.35">
      <c r="A58">
        <v>2000</v>
      </c>
      <c r="B58">
        <v>3.2</v>
      </c>
      <c r="C58">
        <v>0.9</v>
      </c>
      <c r="D58">
        <v>2.3000000000000003</v>
      </c>
      <c r="E58">
        <f t="shared" si="0"/>
        <v>869.56521739130426</v>
      </c>
    </row>
    <row r="59" spans="1:5" x14ac:dyDescent="0.35">
      <c r="A59">
        <v>2000</v>
      </c>
      <c r="B59">
        <v>4.5</v>
      </c>
      <c r="C59">
        <v>0.9</v>
      </c>
      <c r="D59">
        <v>3.6</v>
      </c>
      <c r="E59">
        <f t="shared" si="0"/>
        <v>555.55555555555554</v>
      </c>
    </row>
    <row r="60" spans="1:5" x14ac:dyDescent="0.35">
      <c r="A60">
        <v>2000</v>
      </c>
      <c r="B60">
        <v>3.6</v>
      </c>
      <c r="C60">
        <v>0.8</v>
      </c>
      <c r="D60">
        <v>2.8</v>
      </c>
      <c r="E60">
        <f t="shared" si="0"/>
        <v>714.28571428571433</v>
      </c>
    </row>
    <row r="61" spans="1:5" x14ac:dyDescent="0.35">
      <c r="A61">
        <v>2000</v>
      </c>
      <c r="B61">
        <v>4.0999999999999996</v>
      </c>
      <c r="C61">
        <v>0.6</v>
      </c>
      <c r="D61">
        <v>3.4999999999999996</v>
      </c>
      <c r="E61">
        <f t="shared" si="0"/>
        <v>571.42857142857144</v>
      </c>
    </row>
    <row r="62" spans="1:5" x14ac:dyDescent="0.35">
      <c r="A62">
        <v>2000</v>
      </c>
      <c r="B62">
        <v>7.6</v>
      </c>
      <c r="C62">
        <v>1.9</v>
      </c>
      <c r="D62">
        <v>5.6999999999999993</v>
      </c>
      <c r="E62">
        <f t="shared" si="0"/>
        <v>350.87719298245617</v>
      </c>
    </row>
    <row r="63" spans="1:5" x14ac:dyDescent="0.35">
      <c r="A63">
        <v>2000</v>
      </c>
      <c r="B63">
        <v>8.5</v>
      </c>
      <c r="C63">
        <v>1.8</v>
      </c>
      <c r="D63">
        <v>6.7</v>
      </c>
      <c r="E63">
        <f t="shared" si="0"/>
        <v>298.50746268656718</v>
      </c>
    </row>
    <row r="64" spans="1:5" x14ac:dyDescent="0.35">
      <c r="A64">
        <v>2000</v>
      </c>
      <c r="B64">
        <v>8.3000000000000007</v>
      </c>
      <c r="C64">
        <v>2.1</v>
      </c>
      <c r="D64">
        <v>6.2000000000000011</v>
      </c>
      <c r="E64">
        <f t="shared" si="0"/>
        <v>322.58064516129025</v>
      </c>
    </row>
    <row r="65" spans="1:5" x14ac:dyDescent="0.35">
      <c r="A65">
        <v>1500</v>
      </c>
      <c r="B65">
        <v>2.1</v>
      </c>
      <c r="C65">
        <v>1.1000000000000001</v>
      </c>
      <c r="D65">
        <v>1</v>
      </c>
      <c r="E65">
        <f t="shared" si="0"/>
        <v>1500</v>
      </c>
    </row>
    <row r="66" spans="1:5" x14ac:dyDescent="0.35">
      <c r="A66">
        <v>3000</v>
      </c>
      <c r="B66">
        <v>13.7</v>
      </c>
      <c r="C66">
        <v>3.2</v>
      </c>
      <c r="D66">
        <v>10.5</v>
      </c>
      <c r="E66">
        <f t="shared" si="0"/>
        <v>285.71428571428572</v>
      </c>
    </row>
    <row r="67" spans="1:5" x14ac:dyDescent="0.35">
      <c r="A67">
        <v>2000</v>
      </c>
      <c r="B67">
        <v>9.9</v>
      </c>
      <c r="C67">
        <v>1.3</v>
      </c>
      <c r="D67">
        <v>8.6</v>
      </c>
      <c r="E67">
        <f t="shared" ref="E67:E94" si="1">A67/D67</f>
        <v>232.55813953488374</v>
      </c>
    </row>
    <row r="68" spans="1:5" x14ac:dyDescent="0.35">
      <c r="A68">
        <v>2000</v>
      </c>
      <c r="B68">
        <v>16.600000000000001</v>
      </c>
      <c r="C68">
        <v>1.5</v>
      </c>
      <c r="D68">
        <v>15.100000000000001</v>
      </c>
      <c r="E68">
        <f t="shared" si="1"/>
        <v>132.4503311258278</v>
      </c>
    </row>
    <row r="69" spans="1:5" x14ac:dyDescent="0.35">
      <c r="A69">
        <v>1500</v>
      </c>
      <c r="B69">
        <v>3.2</v>
      </c>
      <c r="C69">
        <v>1</v>
      </c>
      <c r="D69">
        <v>2.2000000000000002</v>
      </c>
      <c r="E69">
        <f t="shared" si="1"/>
        <v>681.81818181818176</v>
      </c>
    </row>
    <row r="70" spans="1:5" x14ac:dyDescent="0.35">
      <c r="A70">
        <v>1500</v>
      </c>
      <c r="B70">
        <v>1.3</v>
      </c>
      <c r="C70">
        <v>0.5</v>
      </c>
      <c r="D70">
        <v>0.8</v>
      </c>
      <c r="E70">
        <f t="shared" si="1"/>
        <v>1875</v>
      </c>
    </row>
    <row r="71" spans="1:5" x14ac:dyDescent="0.35">
      <c r="A71">
        <v>1500</v>
      </c>
      <c r="B71">
        <v>1.5</v>
      </c>
      <c r="C71">
        <v>1.1000000000000001</v>
      </c>
      <c r="D71">
        <v>0.39999999999999991</v>
      </c>
      <c r="E71">
        <f t="shared" si="1"/>
        <v>3750.0000000000009</v>
      </c>
    </row>
    <row r="72" spans="1:5" x14ac:dyDescent="0.35">
      <c r="A72">
        <v>2000</v>
      </c>
      <c r="B72">
        <v>4.5</v>
      </c>
      <c r="C72">
        <v>2.2000000000000002</v>
      </c>
      <c r="D72">
        <v>2.2999999999999998</v>
      </c>
      <c r="E72">
        <f t="shared" si="1"/>
        <v>869.56521739130437</v>
      </c>
    </row>
    <row r="73" spans="1:5" x14ac:dyDescent="0.35">
      <c r="A73">
        <v>2000</v>
      </c>
      <c r="B73">
        <v>2.7</v>
      </c>
      <c r="C73">
        <v>1.4</v>
      </c>
      <c r="D73">
        <v>1.3000000000000003</v>
      </c>
      <c r="E73">
        <f t="shared" si="1"/>
        <v>1538.4615384615381</v>
      </c>
    </row>
    <row r="74" spans="1:5" x14ac:dyDescent="0.35">
      <c r="A74">
        <v>2000</v>
      </c>
      <c r="B74">
        <v>4.5999999999999996</v>
      </c>
      <c r="C74">
        <v>1.4</v>
      </c>
      <c r="D74">
        <v>3.1999999999999997</v>
      </c>
      <c r="E74">
        <f t="shared" si="1"/>
        <v>625</v>
      </c>
    </row>
    <row r="75" spans="1:5" x14ac:dyDescent="0.35">
      <c r="A75">
        <v>2000</v>
      </c>
      <c r="B75">
        <v>2.2000000000000002</v>
      </c>
      <c r="C75">
        <v>1.4</v>
      </c>
      <c r="D75">
        <v>0.80000000000000027</v>
      </c>
      <c r="E75">
        <f t="shared" si="1"/>
        <v>2499.9999999999991</v>
      </c>
    </row>
    <row r="76" spans="1:5" x14ac:dyDescent="0.35">
      <c r="A76">
        <v>1500</v>
      </c>
      <c r="B76">
        <v>1.4</v>
      </c>
      <c r="C76">
        <v>1.4</v>
      </c>
      <c r="D76">
        <v>0</v>
      </c>
      <c r="E76" t="e">
        <f t="shared" si="1"/>
        <v>#DIV/0!</v>
      </c>
    </row>
    <row r="77" spans="1:5" x14ac:dyDescent="0.35">
      <c r="A77">
        <v>1500</v>
      </c>
      <c r="B77">
        <v>1.4</v>
      </c>
      <c r="C77">
        <v>1.4</v>
      </c>
      <c r="D77">
        <v>0</v>
      </c>
      <c r="E77" t="e">
        <f t="shared" si="1"/>
        <v>#DIV/0!</v>
      </c>
    </row>
    <row r="78" spans="1:5" x14ac:dyDescent="0.35">
      <c r="A78">
        <v>2500</v>
      </c>
      <c r="B78">
        <v>8.8000000000000007</v>
      </c>
      <c r="C78">
        <v>4</v>
      </c>
      <c r="D78">
        <v>4.8000000000000007</v>
      </c>
      <c r="E78">
        <f t="shared" si="1"/>
        <v>520.83333333333326</v>
      </c>
    </row>
    <row r="79" spans="1:5" x14ac:dyDescent="0.35">
      <c r="A79">
        <v>1500</v>
      </c>
      <c r="B79">
        <v>7.8</v>
      </c>
      <c r="C79">
        <v>3.5</v>
      </c>
      <c r="D79">
        <v>4.3</v>
      </c>
      <c r="E79">
        <f t="shared" si="1"/>
        <v>348.83720930232562</v>
      </c>
    </row>
    <row r="80" spans="1:5" x14ac:dyDescent="0.35">
      <c r="A80">
        <v>1500</v>
      </c>
      <c r="B80">
        <v>1.5</v>
      </c>
      <c r="C80">
        <v>0.2</v>
      </c>
      <c r="D80">
        <v>1.3</v>
      </c>
      <c r="E80">
        <f t="shared" si="1"/>
        <v>1153.8461538461538</v>
      </c>
    </row>
    <row r="81" spans="1:5" x14ac:dyDescent="0.35">
      <c r="A81">
        <v>2000</v>
      </c>
      <c r="B81">
        <v>4</v>
      </c>
      <c r="C81">
        <v>1.2</v>
      </c>
      <c r="D81">
        <v>2.8</v>
      </c>
      <c r="E81">
        <f t="shared" si="1"/>
        <v>714.28571428571433</v>
      </c>
    </row>
    <row r="82" spans="1:5" x14ac:dyDescent="0.35">
      <c r="A82">
        <v>2000</v>
      </c>
      <c r="B82">
        <v>3.5</v>
      </c>
      <c r="C82">
        <v>1.5</v>
      </c>
      <c r="D82">
        <v>2</v>
      </c>
      <c r="E82">
        <f t="shared" si="1"/>
        <v>1000</v>
      </c>
    </row>
    <row r="83" spans="1:5" x14ac:dyDescent="0.35">
      <c r="A83">
        <v>3000</v>
      </c>
      <c r="B83">
        <v>7.2</v>
      </c>
      <c r="C83">
        <v>2.4</v>
      </c>
      <c r="D83">
        <v>4.8000000000000007</v>
      </c>
      <c r="E83">
        <f t="shared" si="1"/>
        <v>624.99999999999989</v>
      </c>
    </row>
    <row r="84" spans="1:5" x14ac:dyDescent="0.35">
      <c r="A84">
        <v>3000</v>
      </c>
      <c r="B84">
        <v>23.2</v>
      </c>
      <c r="C84">
        <v>6</v>
      </c>
      <c r="D84">
        <v>17.2</v>
      </c>
      <c r="E84">
        <f t="shared" si="1"/>
        <v>174.41860465116281</v>
      </c>
    </row>
    <row r="85" spans="1:5" x14ac:dyDescent="0.35">
      <c r="A85">
        <v>3000</v>
      </c>
      <c r="B85">
        <v>10.8</v>
      </c>
      <c r="C85">
        <v>3.6</v>
      </c>
      <c r="D85">
        <v>7.2000000000000011</v>
      </c>
      <c r="E85">
        <f t="shared" si="1"/>
        <v>416.66666666666663</v>
      </c>
    </row>
    <row r="86" spans="1:5" x14ac:dyDescent="0.35">
      <c r="A86">
        <v>1500</v>
      </c>
      <c r="B86">
        <v>2.4</v>
      </c>
      <c r="C86">
        <v>0.2</v>
      </c>
      <c r="D86">
        <v>2.1999999999999997</v>
      </c>
      <c r="E86">
        <f t="shared" si="1"/>
        <v>681.81818181818187</v>
      </c>
    </row>
    <row r="87" spans="1:5" x14ac:dyDescent="0.35">
      <c r="A87">
        <v>2500</v>
      </c>
      <c r="B87">
        <v>6</v>
      </c>
      <c r="C87">
        <v>1.7</v>
      </c>
      <c r="D87">
        <v>4.3</v>
      </c>
      <c r="E87">
        <f t="shared" si="1"/>
        <v>581.39534883720933</v>
      </c>
    </row>
    <row r="88" spans="1:5" x14ac:dyDescent="0.35">
      <c r="A88">
        <v>3000</v>
      </c>
      <c r="B88">
        <v>3.6</v>
      </c>
      <c r="C88">
        <v>1.4</v>
      </c>
      <c r="D88">
        <v>2.2000000000000002</v>
      </c>
      <c r="E88">
        <f t="shared" si="1"/>
        <v>1363.6363636363635</v>
      </c>
    </row>
    <row r="89" spans="1:5" x14ac:dyDescent="0.35">
      <c r="A89">
        <v>2500</v>
      </c>
      <c r="B89">
        <v>3.5</v>
      </c>
      <c r="C89">
        <v>2.2999999999999998</v>
      </c>
      <c r="D89">
        <v>1.2000000000000002</v>
      </c>
      <c r="E89">
        <f t="shared" si="1"/>
        <v>2083.333333333333</v>
      </c>
    </row>
    <row r="90" spans="1:5" x14ac:dyDescent="0.35">
      <c r="A90">
        <v>2500</v>
      </c>
      <c r="B90">
        <v>4</v>
      </c>
      <c r="C90">
        <v>3.1</v>
      </c>
      <c r="D90">
        <v>0.89999999999999991</v>
      </c>
      <c r="E90">
        <f t="shared" si="1"/>
        <v>2777.7777777777778</v>
      </c>
    </row>
    <row r="91" spans="1:5" x14ac:dyDescent="0.35">
      <c r="A91">
        <v>2500</v>
      </c>
      <c r="B91">
        <v>3.1</v>
      </c>
      <c r="C91">
        <v>2.1</v>
      </c>
      <c r="D91">
        <v>1</v>
      </c>
      <c r="E91">
        <f t="shared" si="1"/>
        <v>2500</v>
      </c>
    </row>
    <row r="92" spans="1:5" x14ac:dyDescent="0.35">
      <c r="A92">
        <v>2500</v>
      </c>
      <c r="B92">
        <v>2.2999999999999998</v>
      </c>
      <c r="C92">
        <v>1.1000000000000001</v>
      </c>
      <c r="D92">
        <v>1.1999999999999997</v>
      </c>
      <c r="E92">
        <f t="shared" si="1"/>
        <v>2083.3333333333339</v>
      </c>
    </row>
    <row r="93" spans="1:5" x14ac:dyDescent="0.35">
      <c r="A93">
        <v>2500</v>
      </c>
      <c r="B93">
        <v>3.1</v>
      </c>
      <c r="C93">
        <v>1</v>
      </c>
      <c r="D93">
        <v>2.1</v>
      </c>
      <c r="E93">
        <f t="shared" si="1"/>
        <v>1190.4761904761904</v>
      </c>
    </row>
    <row r="94" spans="1:5" x14ac:dyDescent="0.35">
      <c r="A94">
        <v>2500</v>
      </c>
      <c r="B94">
        <v>2.1</v>
      </c>
      <c r="C94">
        <v>1.5</v>
      </c>
      <c r="D94">
        <v>0.60000000000000009</v>
      </c>
      <c r="E94">
        <f t="shared" si="1"/>
        <v>4166.6666666666661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 mentah dose CaO</vt:lpstr>
      <vt:lpstr>avergae dose CaO</vt:lpstr>
      <vt:lpstr>average dose al2 SO4 3</vt:lpstr>
      <vt:lpstr>data CaO potong untuk GPT</vt:lpstr>
      <vt:lpstr>calculated marginal dose CaO</vt:lpstr>
      <vt:lpstr>turb raw data</vt:lpstr>
      <vt:lpstr>average also42 dose</vt:lpstr>
      <vt:lpstr>turb-dose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ivy</dc:creator>
  <cp:lastModifiedBy>ivana yuniarti</cp:lastModifiedBy>
  <dcterms:created xsi:type="dcterms:W3CDTF">2026-10-05T06:45:52Z</dcterms:created>
  <dcterms:modified xsi:type="dcterms:W3CDTF">2026-10-07T06:27:38Z</dcterms:modified>
</cp:coreProperties>
</file>