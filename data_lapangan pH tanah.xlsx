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 Tambang Kaltim 2026\data perjalanan 1 (agustus 2026)\"/>
    </mc:Choice>
  </mc:AlternateContent>
  <xr:revisionPtr revIDLastSave="0" documentId="13_ncr:1_{A408B407-87D7-4287-A509-6F16F68E14D4}" xr6:coauthVersionLast="47" xr6:coauthVersionMax="47" xr10:uidLastSave="{00000000-0000-0000-0000-000000000000}"/>
  <bookViews>
    <workbookView xWindow="-110" yWindow="-110" windowWidth="19420" windowHeight="10300" activeTab="1" xr2:uid="{41FEFA01-4AD6-46A2-9BA5-45B93341693A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23" i="3"/>
  <c r="H24" i="3"/>
  <c r="H26" i="3"/>
  <c r="H27" i="3"/>
  <c r="H30" i="3"/>
  <c r="H31" i="3"/>
  <c r="H33" i="3"/>
  <c r="H34" i="3"/>
  <c r="H35" i="3"/>
  <c r="H36" i="3"/>
  <c r="H38" i="3"/>
  <c r="H39" i="3"/>
  <c r="H2" i="3"/>
  <c r="G23" i="3"/>
  <c r="G24" i="3"/>
  <c r="G26" i="3"/>
  <c r="G27" i="3"/>
  <c r="G30" i="3"/>
  <c r="G31" i="3"/>
  <c r="G33" i="3"/>
  <c r="G34" i="3"/>
  <c r="G35" i="3"/>
  <c r="G36" i="3"/>
  <c r="G38" i="3"/>
  <c r="G39" i="3"/>
  <c r="G11" i="3"/>
  <c r="G12" i="3"/>
  <c r="G13" i="3"/>
  <c r="G14" i="3"/>
  <c r="G15" i="3"/>
  <c r="G16" i="3"/>
  <c r="G17" i="3"/>
  <c r="G18" i="3"/>
  <c r="F39" i="3"/>
  <c r="F38" i="3"/>
  <c r="F36" i="3"/>
  <c r="F35" i="3"/>
  <c r="F34" i="3"/>
  <c r="F33" i="3"/>
  <c r="F31" i="3"/>
  <c r="F30" i="3"/>
  <c r="F27" i="3"/>
  <c r="F26" i="3"/>
  <c r="F24" i="3"/>
  <c r="F23" i="3"/>
  <c r="F16" i="3"/>
  <c r="F17" i="3"/>
  <c r="F18" i="3"/>
  <c r="F15" i="3"/>
  <c r="F14" i="3"/>
  <c r="F11" i="3"/>
  <c r="F12" i="3"/>
  <c r="F13" i="3"/>
  <c r="F10" i="3"/>
  <c r="G10" i="3" s="1"/>
  <c r="G6" i="3"/>
  <c r="G7" i="3"/>
  <c r="G8" i="3"/>
  <c r="G9" i="3"/>
  <c r="F6" i="3"/>
  <c r="F7" i="3"/>
  <c r="F8" i="3"/>
  <c r="F9" i="3"/>
  <c r="G4" i="3"/>
  <c r="G5" i="3"/>
  <c r="F5" i="3"/>
  <c r="G3" i="3"/>
  <c r="F3" i="3"/>
  <c r="G2" i="3"/>
  <c r="F2" i="3"/>
  <c r="E7" i="3"/>
  <c r="E16" i="3"/>
  <c r="E18" i="3" s="1"/>
  <c r="E23" i="3" s="1"/>
  <c r="E15" i="3"/>
  <c r="E17" i="3" s="1"/>
  <c r="E2" i="3"/>
  <c r="E5" i="3"/>
  <c r="E4" i="3" s="1"/>
  <c r="F37" i="1"/>
  <c r="E26" i="3" l="1"/>
  <c r="E27" i="3" s="1"/>
  <c r="E30" i="3" s="1"/>
  <c r="E31" i="3" s="1"/>
  <c r="E33" i="3" s="1"/>
  <c r="E24" i="3"/>
  <c r="E36" i="3" l="1"/>
  <c r="E35" i="3"/>
  <c r="E38" i="3"/>
  <c r="E39" i="3" s="1"/>
</calcChain>
</file>

<file path=xl/sharedStrings.xml><?xml version="1.0" encoding="utf-8"?>
<sst xmlns="http://schemas.openxmlformats.org/spreadsheetml/2006/main" count="332" uniqueCount="131">
  <si>
    <t>ID Sampel</t>
  </si>
  <si>
    <t>X</t>
  </si>
  <si>
    <t>Y</t>
  </si>
  <si>
    <t>SA2</t>
  </si>
  <si>
    <t>ST4</t>
  </si>
  <si>
    <t>SA4</t>
  </si>
  <si>
    <t>ST12</t>
  </si>
  <si>
    <t>Tipe sampel</t>
  </si>
  <si>
    <t>air</t>
  </si>
  <si>
    <t>tanah</t>
  </si>
  <si>
    <t>ST6</t>
  </si>
  <si>
    <t>ST11</t>
  </si>
  <si>
    <t>ST10</t>
  </si>
  <si>
    <t>SA21</t>
  </si>
  <si>
    <t>ST17</t>
  </si>
  <si>
    <t>ST18</t>
  </si>
  <si>
    <t>ST15</t>
  </si>
  <si>
    <t>ST9</t>
  </si>
  <si>
    <t>SA Hulu Segah</t>
  </si>
  <si>
    <t>ST16</t>
  </si>
  <si>
    <t>SA20</t>
  </si>
  <si>
    <t>SA23</t>
  </si>
  <si>
    <t>ST19</t>
  </si>
  <si>
    <t>Setling pond Berau Coal</t>
  </si>
  <si>
    <t>Kolong Sambalata</t>
  </si>
  <si>
    <t>Titik tanah 1 (teluk bayur)</t>
  </si>
  <si>
    <t>Titik tanah 2 (teluk bayur)</t>
  </si>
  <si>
    <t>Titik tanah 3 (agak jauh dari tambak non aktif)</t>
  </si>
  <si>
    <t>Titik tanah 4 (wilayah tambang aktif)</t>
  </si>
  <si>
    <t>Parit kecil di jalan padat karya</t>
  </si>
  <si>
    <t>Tambang ilegal non aktif padat karya</t>
  </si>
  <si>
    <t>Gang simpati</t>
  </si>
  <si>
    <t>2 km sebelum tasuk</t>
  </si>
  <si>
    <t>1 km dari balai desa tasuk</t>
  </si>
  <si>
    <t>Titik tanah (reference site Birang)</t>
  </si>
  <si>
    <t>Kebun pak arifin</t>
  </si>
  <si>
    <t>kolong birang</t>
  </si>
  <si>
    <t>Kode Sampel</t>
  </si>
  <si>
    <t>ST8</t>
  </si>
  <si>
    <t>ST13</t>
  </si>
  <si>
    <t>ST20</t>
  </si>
  <si>
    <t>ST31</t>
  </si>
  <si>
    <t>ST30</t>
  </si>
  <si>
    <t>ST29</t>
  </si>
  <si>
    <t>ST22</t>
  </si>
  <si>
    <t>ST32</t>
  </si>
  <si>
    <t>ST33</t>
  </si>
  <si>
    <t>SA18</t>
  </si>
  <si>
    <t>ST14</t>
  </si>
  <si>
    <t>ST27</t>
  </si>
  <si>
    <t>ST24</t>
  </si>
  <si>
    <t>SA28</t>
  </si>
  <si>
    <t>tambang</t>
  </si>
  <si>
    <t>bukan tambang</t>
  </si>
  <si>
    <t>Jarak dengan tambang (m)</t>
  </si>
  <si>
    <t>keterangan lokasi</t>
  </si>
  <si>
    <t>pH tanah</t>
  </si>
  <si>
    <t>EC tanah</t>
  </si>
  <si>
    <t>TDS tanah</t>
  </si>
  <si>
    <t>air &amp; tanah</t>
  </si>
  <si>
    <t xml:space="preserve">Sebelum tambang ilegal </t>
  </si>
  <si>
    <t>ST 25</t>
  </si>
  <si>
    <t>tanah &amp; air</t>
  </si>
  <si>
    <t>dekat tambang</t>
  </si>
  <si>
    <t>Cek lagi</t>
  </si>
  <si>
    <t>Ibu Dinda Katholik Tasuk</t>
  </si>
  <si>
    <t>Rumah Pak Agus</t>
  </si>
  <si>
    <t>ST 26</t>
  </si>
  <si>
    <t>cek lagi</t>
  </si>
  <si>
    <t>6 km sebelum tasuk</t>
  </si>
  <si>
    <t>ST 27</t>
  </si>
  <si>
    <t>non tambang</t>
  </si>
  <si>
    <t>Tanah tambang Pak Agus</t>
  </si>
  <si>
    <t>ST 28</t>
  </si>
  <si>
    <t>tambang aktif</t>
  </si>
  <si>
    <t>Kakao Berau Coal</t>
  </si>
  <si>
    <t>ST 29</t>
  </si>
  <si>
    <t>Parit Sambarata</t>
  </si>
  <si>
    <t>ST 30</t>
  </si>
  <si>
    <t>Tumbit Dayak</t>
  </si>
  <si>
    <t>ST 31</t>
  </si>
  <si>
    <t>BMKG</t>
  </si>
  <si>
    <t>ST 32</t>
  </si>
  <si>
    <t>air &amp;tanah</t>
  </si>
  <si>
    <t>ST BJU</t>
  </si>
  <si>
    <t>ST 33</t>
  </si>
  <si>
    <t>Tanah</t>
  </si>
  <si>
    <t>Jembatan kelai</t>
  </si>
  <si>
    <t>ST 34</t>
  </si>
  <si>
    <t>ST 20</t>
  </si>
  <si>
    <t>ST 35</t>
  </si>
  <si>
    <t>non-tambang</t>
  </si>
  <si>
    <t>cek lagi atiq</t>
  </si>
  <si>
    <t>cek lagi aitq</t>
  </si>
  <si>
    <t>Zone 1</t>
  </si>
  <si>
    <t>Zone 2</t>
  </si>
  <si>
    <t>Zone 3</t>
  </si>
  <si>
    <t>Zone 4</t>
  </si>
  <si>
    <t>Zone</t>
  </si>
  <si>
    <t>Reference site</t>
  </si>
  <si>
    <t>Birng</t>
  </si>
  <si>
    <t>Legal mining</t>
  </si>
  <si>
    <t>ST19 (ref site)</t>
  </si>
  <si>
    <t>zone 3</t>
  </si>
  <si>
    <t>zone 2</t>
  </si>
  <si>
    <t>zone 4</t>
  </si>
  <si>
    <t>zone 1</t>
  </si>
  <si>
    <t>legal/ilegal</t>
  </si>
  <si>
    <t>legal</t>
  </si>
  <si>
    <t>ilegal</t>
  </si>
  <si>
    <t xml:space="preserve">Active </t>
  </si>
  <si>
    <t>non active</t>
  </si>
  <si>
    <t>Ilegal mining</t>
  </si>
  <si>
    <t>non aktif legal</t>
  </si>
  <si>
    <t>Ref site</t>
  </si>
  <si>
    <t>Non mining</t>
  </si>
  <si>
    <t xml:space="preserve">Tekstur tanah </t>
  </si>
  <si>
    <t>A</t>
  </si>
  <si>
    <t>A/B</t>
  </si>
  <si>
    <t>C</t>
  </si>
  <si>
    <t>sulit</t>
  </si>
  <si>
    <t>0.-92</t>
  </si>
  <si>
    <t>sulit terdetect</t>
  </si>
  <si>
    <t>NA</t>
  </si>
  <si>
    <t>Strongly saline</t>
  </si>
  <si>
    <t>slightly saline</t>
  </si>
  <si>
    <t>non saline</t>
  </si>
  <si>
    <t>EC beyon tereshold corn</t>
  </si>
  <si>
    <t>% decrease in corn yield per EC unit</t>
  </si>
  <si>
    <t>% decrease in rice yields per EC 1:1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</si>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</sst>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0" fillId="2" borderId="2" xfId="0" applyFill="1" applyBorder="1"/>
    <xf numFmtId="164" fontId="0" fillId="3" borderId="1" xfId="0" applyNumberFormat="1" applyFill="1" applyBorder="1"/>
    <xf numFmtId="1" fontId="0" fillId="3" borderId="1" xfId="0" applyNumberFormat="1" applyFill="1" applyBorder="1"/>
    <xf numFmtId="0" fontId="0" fillId="0" borderId="3" xfId="0" applyBorder="1"/>
    <xf numFmtId="0" fontId="0" fillId="3" borderId="0" xfId="0" applyFill="1"/>
    <xf numFmtId="0" fontId="0" fillId="3" borderId="1" xfId="0" applyFill="1" applyBorder="1"/>
    <xf numFmtId="165" fontId="0" fillId="0" borderId="1" xfId="0" applyNumberFormat="1" applyBorder="1"/>
    <xf numFmtId="0" fontId="1" fillId="0" borderId="4" xfId="0" applyFont="1" applyBorder="1" applyAlignment="1">
      <alignment horizontal="right" wrapText="1"/>
    </xf>
    <xf numFmtId="0" fontId="1" fillId="3" borderId="4" xfId="0" applyFont="1" applyFill="1" applyBorder="1" applyAlignment="1">
      <alignment horizontal="right" wrapText="1"/>
    </xf>
    <xf numFmtId="1" fontId="0" fillId="0" borderId="5" xfId="0" applyNumberFormat="1" applyBorder="1"/>
    <xf numFmtId="0" fontId="0" fillId="0" borderId="6" xfId="0" applyBorder="1"/>
    <xf numFmtId="0" fontId="1" fillId="0" borderId="1" xfId="0" applyFont="1" applyBorder="1" applyAlignment="1">
      <alignment horizontal="right" wrapText="1"/>
    </xf>
    <xf numFmtId="0" fontId="0" fillId="3" borderId="7" xfId="0" applyFill="1" applyBorder="1"/>
    <xf numFmtId="0" fontId="0" fillId="3" borderId="3" xfId="0" applyFill="1" applyBorder="1"/>
    <xf numFmtId="0" fontId="0" fillId="0" borderId="0" xfId="0" applyAlignment="1">
      <alignment horizontal="center"/>
    </xf>
    <xf numFmtId="0" fontId="0" fillId="4" borderId="0" xfId="0" applyFill="1"/>
    <xf numFmtId="0" fontId="0" fillId="0" borderId="2" xfId="0" applyBorder="1"/>
    <xf numFmtId="0" fontId="0" fillId="0" borderId="8" xfId="0" applyBorder="1"/>
    <xf numFmtId="0" fontId="0" fillId="3" borderId="2" xfId="0" applyFill="1" applyBorder="1"/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A488-85C0-40A0-82D6-90BBC3A1F1B0}">
  <dimension ref="A1:M39"/>
  <sheetViews>
    <sheetView zoomScale="80" zoomScaleNormal="80" workbookViewId="0">
      <selection activeCell="K1" activeCellId="2" sqref="I1:I1048576 J1:J1048576 K1:K1048576"/>
    </sheetView>
  </sheetViews>
  <sheetFormatPr defaultRowHeight="14.5" x14ac:dyDescent="0.35"/>
  <cols>
    <col min="1" max="1" width="39.6328125" bestFit="1" customWidth="1"/>
    <col min="2" max="2" width="24" customWidth="1"/>
    <col min="5" max="5" width="11.26953125" customWidth="1"/>
    <col min="6" max="6" width="15.6328125" style="1" bestFit="1" customWidth="1"/>
    <col min="7" max="7" width="23.1796875" style="2" bestFit="1" customWidth="1"/>
  </cols>
  <sheetData>
    <row r="1" spans="1:13" x14ac:dyDescent="0.35">
      <c r="A1" s="6" t="s">
        <v>0</v>
      </c>
      <c r="B1" s="6" t="s">
        <v>37</v>
      </c>
      <c r="C1" s="6" t="s">
        <v>1</v>
      </c>
      <c r="D1" s="6" t="s">
        <v>2</v>
      </c>
      <c r="E1" s="6" t="s">
        <v>7</v>
      </c>
      <c r="F1" s="7" t="s">
        <v>55</v>
      </c>
      <c r="G1" s="8" t="s">
        <v>54</v>
      </c>
      <c r="H1" s="6" t="s">
        <v>56</v>
      </c>
      <c r="I1" s="6" t="s">
        <v>57</v>
      </c>
      <c r="J1" s="6" t="s">
        <v>58</v>
      </c>
      <c r="K1" s="9" t="s">
        <v>116</v>
      </c>
      <c r="L1" s="9" t="s">
        <v>98</v>
      </c>
      <c r="M1" s="9" t="s">
        <v>107</v>
      </c>
    </row>
    <row r="2" spans="1:13" x14ac:dyDescent="0.35">
      <c r="A2" s="4" t="s">
        <v>3</v>
      </c>
      <c r="B2" s="4" t="s">
        <v>5</v>
      </c>
      <c r="C2" s="4">
        <v>526669</v>
      </c>
      <c r="D2" s="4">
        <v>200169</v>
      </c>
      <c r="E2" s="3" t="s">
        <v>59</v>
      </c>
      <c r="F2" s="4" t="s">
        <v>52</v>
      </c>
      <c r="G2" s="5">
        <v>2275.3939999999998</v>
      </c>
      <c r="H2" s="15">
        <v>5.5</v>
      </c>
      <c r="I2">
        <v>0.09</v>
      </c>
      <c r="J2">
        <v>45</v>
      </c>
      <c r="K2" t="s">
        <v>117</v>
      </c>
      <c r="L2" t="s">
        <v>103</v>
      </c>
      <c r="M2" s="24"/>
    </row>
    <row r="3" spans="1:13" x14ac:dyDescent="0.35">
      <c r="A3" s="4" t="s">
        <v>18</v>
      </c>
      <c r="B3" s="4" t="s">
        <v>3</v>
      </c>
      <c r="C3" s="4">
        <v>511844</v>
      </c>
      <c r="D3" s="4">
        <v>241970</v>
      </c>
      <c r="E3" s="3" t="s">
        <v>59</v>
      </c>
      <c r="F3" s="4" t="s">
        <v>53</v>
      </c>
      <c r="G3" s="5">
        <v>25301.215</v>
      </c>
      <c r="H3" s="15">
        <v>6.6</v>
      </c>
      <c r="I3">
        <v>0.12</v>
      </c>
      <c r="J3">
        <v>53</v>
      </c>
      <c r="K3" t="s">
        <v>118</v>
      </c>
      <c r="L3" t="s">
        <v>105</v>
      </c>
      <c r="M3" s="24" t="s">
        <v>114</v>
      </c>
    </row>
    <row r="4" spans="1:13" x14ac:dyDescent="0.35">
      <c r="A4" s="3" t="s">
        <v>23</v>
      </c>
      <c r="B4" s="4" t="s">
        <v>20</v>
      </c>
      <c r="C4" s="3">
        <v>547779.40756862308</v>
      </c>
      <c r="D4" s="3">
        <v>242387.1697849</v>
      </c>
      <c r="E4" s="3" t="s">
        <v>83</v>
      </c>
      <c r="F4" s="4" t="s">
        <v>52</v>
      </c>
      <c r="G4" s="5">
        <v>0</v>
      </c>
      <c r="H4" s="3">
        <v>5.2</v>
      </c>
      <c r="I4" s="25">
        <v>1.014</v>
      </c>
      <c r="J4" s="25">
        <v>504</v>
      </c>
      <c r="K4" t="s">
        <v>117</v>
      </c>
      <c r="L4" t="s">
        <v>106</v>
      </c>
      <c r="M4" s="24" t="s">
        <v>108</v>
      </c>
    </row>
    <row r="5" spans="1:13" s="13" customFormat="1" x14ac:dyDescent="0.35">
      <c r="A5" s="14" t="s">
        <v>24</v>
      </c>
      <c r="B5" s="11" t="s">
        <v>47</v>
      </c>
      <c r="C5" s="14">
        <v>544307.13542585622</v>
      </c>
      <c r="D5" s="14">
        <v>240847.57140660001</v>
      </c>
      <c r="E5" s="14" t="s">
        <v>59</v>
      </c>
      <c r="F5" s="11" t="s">
        <v>52</v>
      </c>
      <c r="G5" s="10">
        <v>3923.5459999999998</v>
      </c>
      <c r="H5" s="14">
        <v>4.5</v>
      </c>
      <c r="I5" s="13">
        <v>1.714</v>
      </c>
      <c r="J5" s="13">
        <v>561</v>
      </c>
      <c r="K5" s="13" t="s">
        <v>117</v>
      </c>
      <c r="L5" s="13" t="s">
        <v>106</v>
      </c>
      <c r="M5" s="24" t="s">
        <v>108</v>
      </c>
    </row>
    <row r="6" spans="1:13" x14ac:dyDescent="0.35">
      <c r="A6" s="3" t="s">
        <v>29</v>
      </c>
      <c r="B6" s="4" t="s">
        <v>21</v>
      </c>
      <c r="C6" s="3">
        <v>549962.38494740776</v>
      </c>
      <c r="D6" s="3">
        <v>238062.5734999</v>
      </c>
      <c r="E6" s="3" t="s">
        <v>8</v>
      </c>
      <c r="F6" s="4" t="s">
        <v>52</v>
      </c>
      <c r="G6" s="5">
        <v>2091.3020000000001</v>
      </c>
      <c r="H6" s="3">
        <v>4.5</v>
      </c>
      <c r="I6" s="26">
        <v>1.5980000000000001</v>
      </c>
      <c r="J6" s="26">
        <v>823</v>
      </c>
      <c r="K6" t="s">
        <v>117</v>
      </c>
      <c r="L6" t="s">
        <v>104</v>
      </c>
      <c r="M6" s="24" t="s">
        <v>109</v>
      </c>
    </row>
    <row r="7" spans="1:13" x14ac:dyDescent="0.35">
      <c r="A7" s="3" t="s">
        <v>30</v>
      </c>
      <c r="B7" s="4" t="s">
        <v>13</v>
      </c>
      <c r="C7" s="3">
        <v>549349.77819263749</v>
      </c>
      <c r="D7" s="3">
        <v>237695.41803189999</v>
      </c>
      <c r="E7" s="3" t="s">
        <v>8</v>
      </c>
      <c r="F7" s="4" t="s">
        <v>52</v>
      </c>
      <c r="G7" s="5">
        <v>2397.7020000000002</v>
      </c>
      <c r="H7" s="3">
        <v>4.5</v>
      </c>
      <c r="I7" s="26">
        <v>0.83199999999999996</v>
      </c>
      <c r="J7" s="26">
        <v>574</v>
      </c>
      <c r="L7" t="s">
        <v>104</v>
      </c>
      <c r="M7" s="24" t="s">
        <v>109</v>
      </c>
    </row>
    <row r="8" spans="1:13" x14ac:dyDescent="0.35">
      <c r="A8" s="3" t="s">
        <v>36</v>
      </c>
      <c r="B8" s="4" t="s">
        <v>51</v>
      </c>
      <c r="C8" s="3">
        <v>550440.89963251201</v>
      </c>
      <c r="D8" s="3">
        <v>244269.26341670001</v>
      </c>
      <c r="E8" s="3" t="s">
        <v>59</v>
      </c>
      <c r="F8" s="4" t="s">
        <v>52</v>
      </c>
      <c r="G8" s="5">
        <v>648.99699999999996</v>
      </c>
      <c r="H8" s="3">
        <v>4.5</v>
      </c>
      <c r="I8" s="26">
        <v>1.28</v>
      </c>
      <c r="J8" s="26">
        <v>943</v>
      </c>
      <c r="L8" t="s">
        <v>106</v>
      </c>
      <c r="M8" s="24" t="s">
        <v>113</v>
      </c>
    </row>
    <row r="9" spans="1:13" x14ac:dyDescent="0.35">
      <c r="A9" s="4" t="s">
        <v>6</v>
      </c>
      <c r="B9" s="4" t="s">
        <v>38</v>
      </c>
      <c r="C9" s="4">
        <v>549200</v>
      </c>
      <c r="D9" s="4">
        <v>235713</v>
      </c>
      <c r="E9" s="3" t="s">
        <v>9</v>
      </c>
      <c r="F9" s="4" t="s">
        <v>52</v>
      </c>
      <c r="G9" s="5">
        <v>2439.6529999999998</v>
      </c>
      <c r="H9" s="4">
        <v>4.5</v>
      </c>
      <c r="I9" s="26">
        <v>3.32</v>
      </c>
      <c r="J9">
        <v>1979</v>
      </c>
      <c r="L9" t="s">
        <v>95</v>
      </c>
      <c r="M9" s="24"/>
    </row>
    <row r="10" spans="1:13" x14ac:dyDescent="0.35">
      <c r="A10" s="4" t="s">
        <v>10</v>
      </c>
      <c r="B10" s="4" t="s">
        <v>4</v>
      </c>
      <c r="C10" s="4">
        <v>528492</v>
      </c>
      <c r="D10" s="4">
        <v>221272</v>
      </c>
      <c r="E10" s="3" t="s">
        <v>9</v>
      </c>
      <c r="F10" s="4" t="s">
        <v>52</v>
      </c>
      <c r="G10" s="5">
        <v>7997.3850000000002</v>
      </c>
      <c r="H10" s="4">
        <v>6.5</v>
      </c>
      <c r="I10" s="26">
        <v>0.14799999999999999</v>
      </c>
      <c r="J10">
        <v>76</v>
      </c>
      <c r="L10" t="s">
        <v>97</v>
      </c>
      <c r="M10" s="24"/>
    </row>
    <row r="11" spans="1:13" x14ac:dyDescent="0.35">
      <c r="A11" s="4" t="s">
        <v>11</v>
      </c>
      <c r="B11" s="4" t="s">
        <v>39</v>
      </c>
      <c r="C11" s="4">
        <v>543324</v>
      </c>
      <c r="D11" s="4">
        <v>239136</v>
      </c>
      <c r="E11" s="3" t="s">
        <v>9</v>
      </c>
      <c r="F11" s="4" t="s">
        <v>52</v>
      </c>
      <c r="G11" s="5">
        <v>5251.3029999999999</v>
      </c>
      <c r="H11" s="15">
        <v>4.5</v>
      </c>
      <c r="I11" s="26">
        <v>9.1999999999999998E-2</v>
      </c>
      <c r="J11">
        <v>44</v>
      </c>
      <c r="L11" t="s">
        <v>97</v>
      </c>
      <c r="M11" s="24"/>
    </row>
    <row r="12" spans="1:13" x14ac:dyDescent="0.35">
      <c r="A12" s="4" t="s">
        <v>12</v>
      </c>
      <c r="B12" s="4" t="s">
        <v>40</v>
      </c>
      <c r="C12" s="4">
        <v>549495</v>
      </c>
      <c r="D12" s="4">
        <v>237335</v>
      </c>
      <c r="E12" s="3" t="s">
        <v>9</v>
      </c>
      <c r="F12" s="4" t="s">
        <v>52</v>
      </c>
      <c r="G12" s="5">
        <v>2756.2159999999999</v>
      </c>
      <c r="H12" s="15">
        <v>4.5999999999999996</v>
      </c>
      <c r="I12" s="26">
        <v>0.51400000000000001</v>
      </c>
      <c r="J12">
        <v>364</v>
      </c>
      <c r="L12" t="s">
        <v>96</v>
      </c>
      <c r="M12" s="24"/>
    </row>
    <row r="13" spans="1:13" x14ac:dyDescent="0.35">
      <c r="A13" s="4" t="s">
        <v>14</v>
      </c>
      <c r="B13" s="4" t="s">
        <v>41</v>
      </c>
      <c r="C13" s="4">
        <v>574245</v>
      </c>
      <c r="D13" s="4">
        <v>237001</v>
      </c>
      <c r="E13" s="3" t="s">
        <v>9</v>
      </c>
      <c r="F13" s="4" t="s">
        <v>52</v>
      </c>
      <c r="G13" s="5">
        <v>4257.9939999999997</v>
      </c>
      <c r="H13" s="4">
        <v>7</v>
      </c>
      <c r="I13" s="26">
        <v>6.0000000000000001E-3</v>
      </c>
      <c r="J13">
        <v>3</v>
      </c>
      <c r="L13" t="s">
        <v>97</v>
      </c>
      <c r="M13" s="24"/>
    </row>
    <row r="14" spans="1:13" x14ac:dyDescent="0.35">
      <c r="A14" s="4" t="s">
        <v>15</v>
      </c>
      <c r="B14" s="4" t="s">
        <v>42</v>
      </c>
      <c r="C14" s="4">
        <v>570494</v>
      </c>
      <c r="D14" s="4">
        <v>233080</v>
      </c>
      <c r="E14" s="3" t="s">
        <v>9</v>
      </c>
      <c r="F14" s="4" t="s">
        <v>52</v>
      </c>
      <c r="G14" s="5">
        <v>0</v>
      </c>
      <c r="H14" s="4">
        <v>5.2</v>
      </c>
      <c r="I14" s="26">
        <v>5.81</v>
      </c>
      <c r="J14">
        <v>2723</v>
      </c>
      <c r="K14" t="s">
        <v>119</v>
      </c>
      <c r="L14" t="s">
        <v>94</v>
      </c>
      <c r="M14" s="24"/>
    </row>
    <row r="15" spans="1:13" x14ac:dyDescent="0.35">
      <c r="A15" s="4" t="s">
        <v>16</v>
      </c>
      <c r="B15" s="4" t="s">
        <v>43</v>
      </c>
      <c r="C15" s="4">
        <v>565841</v>
      </c>
      <c r="D15" s="4">
        <v>231517</v>
      </c>
      <c r="E15" s="3" t="s">
        <v>9</v>
      </c>
      <c r="F15" s="4" t="s">
        <v>52</v>
      </c>
      <c r="G15" s="5">
        <v>4066.0639999999999</v>
      </c>
      <c r="H15" s="15">
        <v>6.5</v>
      </c>
      <c r="I15" s="26">
        <v>0.14199999999999999</v>
      </c>
      <c r="J15">
        <v>71</v>
      </c>
      <c r="L15" t="s">
        <v>97</v>
      </c>
      <c r="M15" s="24"/>
    </row>
    <row r="16" spans="1:13" x14ac:dyDescent="0.35">
      <c r="A16" s="4" t="s">
        <v>17</v>
      </c>
      <c r="B16" s="4" t="s">
        <v>44</v>
      </c>
      <c r="C16" s="4">
        <v>557336</v>
      </c>
      <c r="D16" s="4">
        <v>232118</v>
      </c>
      <c r="E16" s="3" t="s">
        <v>9</v>
      </c>
      <c r="F16" s="11" t="s">
        <v>68</v>
      </c>
      <c r="G16" s="5">
        <v>3966.962</v>
      </c>
      <c r="H16" s="3">
        <v>6.9</v>
      </c>
      <c r="I16" s="26">
        <v>1.7999999999999999E-2</v>
      </c>
      <c r="J16" s="26">
        <v>8</v>
      </c>
      <c r="L16" t="s">
        <v>96</v>
      </c>
      <c r="M16" s="24"/>
    </row>
    <row r="17" spans="1:13" x14ac:dyDescent="0.35">
      <c r="A17" s="4" t="s">
        <v>19</v>
      </c>
      <c r="B17" s="4" t="s">
        <v>45</v>
      </c>
      <c r="C17" s="4">
        <v>571763</v>
      </c>
      <c r="D17" s="4">
        <v>244308</v>
      </c>
      <c r="E17" s="3" t="s">
        <v>9</v>
      </c>
      <c r="F17" s="4" t="s">
        <v>52</v>
      </c>
      <c r="G17" s="5">
        <v>5087.4610000000002</v>
      </c>
      <c r="H17" s="4">
        <v>4.5</v>
      </c>
      <c r="I17" s="26">
        <v>0.57199999999999995</v>
      </c>
      <c r="J17">
        <v>367</v>
      </c>
      <c r="L17" t="s">
        <v>97</v>
      </c>
      <c r="M17" s="24"/>
    </row>
    <row r="18" spans="1:13" ht="15" thickBot="1" x14ac:dyDescent="0.4">
      <c r="A18" s="4" t="s">
        <v>102</v>
      </c>
      <c r="B18" s="4" t="s">
        <v>46</v>
      </c>
      <c r="C18" s="4">
        <v>606056</v>
      </c>
      <c r="D18" s="4">
        <v>246538</v>
      </c>
      <c r="E18" s="3" t="s">
        <v>9</v>
      </c>
      <c r="F18" s="4" t="s">
        <v>53</v>
      </c>
      <c r="G18" s="5">
        <v>35049.966</v>
      </c>
      <c r="H18" s="15">
        <v>5.2</v>
      </c>
      <c r="I18" s="26">
        <v>0.11</v>
      </c>
      <c r="J18">
        <v>50</v>
      </c>
      <c r="L18" t="s">
        <v>114</v>
      </c>
      <c r="M18" s="24" t="s">
        <v>114</v>
      </c>
    </row>
    <row r="19" spans="1:13" ht="15" thickBot="1" x14ac:dyDescent="0.4">
      <c r="A19" s="3" t="s">
        <v>25</v>
      </c>
      <c r="B19" s="4" t="s">
        <v>12</v>
      </c>
      <c r="C19" s="3">
        <v>547055.45320000174</v>
      </c>
      <c r="D19" s="3">
        <v>238639.83793539999</v>
      </c>
      <c r="E19" s="3" t="s">
        <v>9</v>
      </c>
      <c r="F19" s="4" t="s">
        <v>52</v>
      </c>
      <c r="G19" s="5">
        <v>2230.3009999999999</v>
      </c>
      <c r="H19" s="16">
        <v>6.9</v>
      </c>
      <c r="I19" t="s">
        <v>123</v>
      </c>
      <c r="J19" t="s">
        <v>123</v>
      </c>
      <c r="L19" t="s">
        <v>96</v>
      </c>
      <c r="M19" s="24"/>
    </row>
    <row r="20" spans="1:13" ht="15" thickBot="1" x14ac:dyDescent="0.4">
      <c r="A20" s="3" t="s">
        <v>26</v>
      </c>
      <c r="B20" s="4" t="s">
        <v>11</v>
      </c>
      <c r="C20" s="3">
        <v>547071.0125217376</v>
      </c>
      <c r="D20" s="3">
        <v>238670.79196959999</v>
      </c>
      <c r="E20" s="3" t="s">
        <v>9</v>
      </c>
      <c r="F20" s="4" t="s">
        <v>52</v>
      </c>
      <c r="G20" s="5">
        <v>2230.3009999999999</v>
      </c>
      <c r="H20" s="16">
        <v>6.9</v>
      </c>
      <c r="I20" t="s">
        <v>123</v>
      </c>
      <c r="J20" t="s">
        <v>123</v>
      </c>
      <c r="L20" t="s">
        <v>96</v>
      </c>
      <c r="M20" s="24"/>
    </row>
    <row r="21" spans="1:13" ht="15" thickBot="1" x14ac:dyDescent="0.4">
      <c r="A21" s="3" t="s">
        <v>27</v>
      </c>
      <c r="B21" s="4" t="s">
        <v>6</v>
      </c>
      <c r="C21" s="3">
        <v>545290.78859843349</v>
      </c>
      <c r="D21" s="3">
        <v>238376.2841928</v>
      </c>
      <c r="E21" s="3" t="s">
        <v>9</v>
      </c>
      <c r="F21" s="4" t="s">
        <v>52</v>
      </c>
      <c r="G21" s="5">
        <v>3829.68</v>
      </c>
      <c r="H21" s="16">
        <v>6.9</v>
      </c>
      <c r="I21" t="s">
        <v>123</v>
      </c>
      <c r="J21" t="s">
        <v>123</v>
      </c>
      <c r="L21" t="s">
        <v>97</v>
      </c>
      <c r="M21" s="24"/>
    </row>
    <row r="22" spans="1:13" ht="15" thickBot="1" x14ac:dyDescent="0.4">
      <c r="A22" s="3" t="s">
        <v>28</v>
      </c>
      <c r="B22" s="4" t="s">
        <v>48</v>
      </c>
      <c r="C22" s="3">
        <v>543306.80062357336</v>
      </c>
      <c r="D22" s="3">
        <v>239121.87087879999</v>
      </c>
      <c r="E22" s="3" t="s">
        <v>9</v>
      </c>
      <c r="F22" s="4" t="s">
        <v>52</v>
      </c>
      <c r="G22" s="5">
        <v>5251.3029999999999</v>
      </c>
      <c r="H22" s="16">
        <v>4.5</v>
      </c>
      <c r="I22" t="s">
        <v>123</v>
      </c>
      <c r="J22" t="s">
        <v>123</v>
      </c>
      <c r="L22" t="s">
        <v>97</v>
      </c>
      <c r="M22" s="24"/>
    </row>
    <row r="23" spans="1:13" x14ac:dyDescent="0.35">
      <c r="A23" s="3" t="s">
        <v>31</v>
      </c>
      <c r="B23" s="4" t="s">
        <v>22</v>
      </c>
      <c r="C23" s="3">
        <v>549307.39735539269</v>
      </c>
      <c r="D23" s="3">
        <v>238124.2813001</v>
      </c>
      <c r="E23" s="3" t="s">
        <v>9</v>
      </c>
      <c r="F23" s="4" t="s">
        <v>52</v>
      </c>
      <c r="G23" s="5">
        <v>1971.999</v>
      </c>
      <c r="H23" s="3">
        <v>5.0999999999999996</v>
      </c>
      <c r="I23" s="25">
        <v>0.26600000000000001</v>
      </c>
      <c r="J23" s="25">
        <v>126</v>
      </c>
      <c r="L23" t="s">
        <v>95</v>
      </c>
      <c r="M23" s="24"/>
    </row>
    <row r="24" spans="1:13" x14ac:dyDescent="0.35">
      <c r="A24" s="3" t="s">
        <v>32</v>
      </c>
      <c r="B24" s="4" t="s">
        <v>19</v>
      </c>
      <c r="C24" s="3">
        <v>546542.22633992753</v>
      </c>
      <c r="D24" s="3">
        <v>240799.54207950001</v>
      </c>
      <c r="E24" s="3" t="s">
        <v>62</v>
      </c>
      <c r="F24" s="4" t="s">
        <v>52</v>
      </c>
      <c r="G24" s="5">
        <v>1693.8630000000001</v>
      </c>
      <c r="H24" s="3">
        <v>5.6</v>
      </c>
      <c r="I24" s="25">
        <v>0.11600000000000001</v>
      </c>
      <c r="J24" s="25">
        <v>50</v>
      </c>
      <c r="L24" t="s">
        <v>95</v>
      </c>
      <c r="M24" s="24"/>
    </row>
    <row r="25" spans="1:13" x14ac:dyDescent="0.35">
      <c r="A25" s="3" t="s">
        <v>33</v>
      </c>
      <c r="B25" s="4" t="s">
        <v>14</v>
      </c>
      <c r="C25" s="3">
        <v>547382.71037844801</v>
      </c>
      <c r="D25" s="3">
        <v>241413.24534669999</v>
      </c>
      <c r="E25" s="3" t="s">
        <v>9</v>
      </c>
      <c r="F25" s="4" t="s">
        <v>52</v>
      </c>
      <c r="G25" s="5">
        <v>855.86400000000003</v>
      </c>
      <c r="H25" s="3">
        <v>4.5</v>
      </c>
      <c r="L25" t="s">
        <v>94</v>
      </c>
      <c r="M25" s="24"/>
    </row>
    <row r="26" spans="1:13" x14ac:dyDescent="0.35">
      <c r="A26" s="3" t="s">
        <v>65</v>
      </c>
      <c r="B26" s="4" t="s">
        <v>15</v>
      </c>
      <c r="C26" s="3">
        <v>547741.8624700947</v>
      </c>
      <c r="D26" s="3">
        <v>241471.930964</v>
      </c>
      <c r="E26" s="3" t="s">
        <v>9</v>
      </c>
      <c r="F26" s="4" t="s">
        <v>52</v>
      </c>
      <c r="G26" s="5">
        <v>675.59100000000001</v>
      </c>
      <c r="H26" s="3">
        <v>6.3</v>
      </c>
      <c r="I26" s="25">
        <v>4.2000000000000003E-2</v>
      </c>
      <c r="J26" s="25">
        <v>64</v>
      </c>
      <c r="L26" t="s">
        <v>94</v>
      </c>
      <c r="M26" s="24"/>
    </row>
    <row r="27" spans="1:13" x14ac:dyDescent="0.35">
      <c r="A27" s="3" t="s">
        <v>34</v>
      </c>
      <c r="B27" s="4" t="s">
        <v>49</v>
      </c>
      <c r="C27" s="3">
        <v>553710.03538946749</v>
      </c>
      <c r="D27" s="3">
        <v>244396.30447890001</v>
      </c>
      <c r="E27" s="3" t="s">
        <v>9</v>
      </c>
      <c r="F27" s="11" t="s">
        <v>53</v>
      </c>
      <c r="G27" s="5">
        <v>3180.6869999999999</v>
      </c>
      <c r="H27" s="3">
        <v>6.8</v>
      </c>
      <c r="I27" s="25">
        <v>0.06</v>
      </c>
      <c r="J27" s="25">
        <v>33</v>
      </c>
      <c r="K27" t="s">
        <v>118</v>
      </c>
      <c r="L27" t="s">
        <v>96</v>
      </c>
      <c r="M27" s="24"/>
    </row>
    <row r="28" spans="1:13" ht="15" thickBot="1" x14ac:dyDescent="0.4">
      <c r="A28" s="3" t="s">
        <v>35</v>
      </c>
      <c r="B28" s="4" t="s">
        <v>50</v>
      </c>
      <c r="C28" s="3">
        <v>550725.51218601409</v>
      </c>
      <c r="D28" s="3">
        <v>240785.28106549999</v>
      </c>
      <c r="E28" s="3" t="s">
        <v>9</v>
      </c>
      <c r="F28" s="4" t="s">
        <v>71</v>
      </c>
      <c r="G28" s="10" t="s">
        <v>64</v>
      </c>
      <c r="H28" s="3">
        <v>6.7</v>
      </c>
      <c r="I28" s="26">
        <v>0.19600000000000001</v>
      </c>
      <c r="J28">
        <v>98</v>
      </c>
      <c r="M28" s="24"/>
    </row>
    <row r="29" spans="1:13" ht="15" thickBot="1" x14ac:dyDescent="0.4">
      <c r="A29" s="3" t="s">
        <v>60</v>
      </c>
      <c r="B29" s="4" t="s">
        <v>61</v>
      </c>
      <c r="C29" s="16">
        <v>2.1537500000000001</v>
      </c>
      <c r="D29" s="16">
        <v>117.44931</v>
      </c>
      <c r="E29" s="3" t="s">
        <v>62</v>
      </c>
      <c r="F29" s="4" t="s">
        <v>63</v>
      </c>
      <c r="G29" s="10" t="s">
        <v>64</v>
      </c>
      <c r="H29" s="3">
        <v>4.5</v>
      </c>
      <c r="I29" s="26">
        <v>0.21099999999999999</v>
      </c>
      <c r="J29">
        <v>136</v>
      </c>
      <c r="M29" s="24"/>
    </row>
    <row r="30" spans="1:13" ht="15" thickBot="1" x14ac:dyDescent="0.4">
      <c r="A30" s="3" t="s">
        <v>66</v>
      </c>
      <c r="B30" s="4" t="s">
        <v>67</v>
      </c>
      <c r="C30" s="14"/>
      <c r="D30" s="14"/>
      <c r="E30" s="3" t="s">
        <v>62</v>
      </c>
      <c r="F30" s="4" t="s">
        <v>63</v>
      </c>
      <c r="G30" s="10" t="s">
        <v>68</v>
      </c>
      <c r="H30" s="3">
        <v>4.9000000000000004</v>
      </c>
      <c r="I30" s="26">
        <v>0.104</v>
      </c>
      <c r="M30" s="24"/>
    </row>
    <row r="31" spans="1:13" ht="15" thickBot="1" x14ac:dyDescent="0.4">
      <c r="A31" s="3" t="s">
        <v>69</v>
      </c>
      <c r="B31" s="4" t="s">
        <v>70</v>
      </c>
      <c r="C31" s="16">
        <v>2.1768800000000001</v>
      </c>
      <c r="D31" s="16">
        <v>117.46588</v>
      </c>
      <c r="E31" s="3" t="s">
        <v>9</v>
      </c>
      <c r="F31" s="4" t="s">
        <v>71</v>
      </c>
      <c r="G31" s="10" t="s">
        <v>68</v>
      </c>
      <c r="H31" s="3">
        <v>7</v>
      </c>
      <c r="I31" s="26">
        <v>0.318</v>
      </c>
      <c r="J31">
        <v>285</v>
      </c>
      <c r="M31" s="24"/>
    </row>
    <row r="32" spans="1:13" x14ac:dyDescent="0.35">
      <c r="A32" s="3" t="s">
        <v>72</v>
      </c>
      <c r="B32" s="4" t="s">
        <v>73</v>
      </c>
      <c r="C32" s="22"/>
      <c r="D32" s="22"/>
      <c r="E32" s="3" t="s">
        <v>9</v>
      </c>
      <c r="F32" s="4" t="s">
        <v>74</v>
      </c>
      <c r="G32" s="10" t="s">
        <v>68</v>
      </c>
      <c r="H32" s="3">
        <v>4.5</v>
      </c>
      <c r="I32" s="26" t="s">
        <v>122</v>
      </c>
      <c r="J32" t="s">
        <v>122</v>
      </c>
      <c r="M32" s="24"/>
    </row>
    <row r="33" spans="1:13" x14ac:dyDescent="0.35">
      <c r="A33" s="12" t="s">
        <v>75</v>
      </c>
      <c r="B33" s="18" t="s">
        <v>76</v>
      </c>
      <c r="C33" s="20">
        <v>2.1783800000000002</v>
      </c>
      <c r="D33" s="20">
        <v>117.45618</v>
      </c>
      <c r="E33" s="19" t="s">
        <v>9</v>
      </c>
      <c r="F33" s="1" t="s">
        <v>71</v>
      </c>
      <c r="G33" s="10" t="s">
        <v>68</v>
      </c>
      <c r="H33" s="3">
        <v>6.1</v>
      </c>
      <c r="I33" s="26">
        <v>7.8E-2</v>
      </c>
      <c r="J33">
        <v>39</v>
      </c>
      <c r="M33" s="24"/>
    </row>
    <row r="34" spans="1:13" x14ac:dyDescent="0.35">
      <c r="A34" s="3" t="s">
        <v>77</v>
      </c>
      <c r="B34" s="4" t="s">
        <v>78</v>
      </c>
      <c r="C34" s="21" t="s">
        <v>93</v>
      </c>
      <c r="D34" s="21" t="s">
        <v>92</v>
      </c>
      <c r="E34" s="3" t="s">
        <v>62</v>
      </c>
      <c r="F34" s="4" t="s">
        <v>52</v>
      </c>
      <c r="G34" s="10" t="s">
        <v>68</v>
      </c>
      <c r="H34" s="3">
        <v>4.5</v>
      </c>
      <c r="I34" s="26">
        <v>1.3660000000000001</v>
      </c>
      <c r="J34">
        <v>668</v>
      </c>
      <c r="M34" s="24"/>
    </row>
    <row r="35" spans="1:13" ht="15" thickBot="1" x14ac:dyDescent="0.4">
      <c r="A35" s="3" t="s">
        <v>79</v>
      </c>
      <c r="B35" s="4" t="s">
        <v>80</v>
      </c>
      <c r="C35" s="14" t="s">
        <v>92</v>
      </c>
      <c r="D35" s="14" t="s">
        <v>92</v>
      </c>
      <c r="E35" s="3"/>
      <c r="F35" s="11" t="s">
        <v>92</v>
      </c>
      <c r="G35" s="10" t="s">
        <v>68</v>
      </c>
      <c r="H35" s="3">
        <v>4.5</v>
      </c>
      <c r="I35" s="26">
        <v>0.13</v>
      </c>
      <c r="J35">
        <v>65</v>
      </c>
      <c r="M35" s="24"/>
    </row>
    <row r="36" spans="1:13" ht="15" thickBot="1" x14ac:dyDescent="0.4">
      <c r="A36" s="3" t="s">
        <v>81</v>
      </c>
      <c r="B36" s="4" t="s">
        <v>82</v>
      </c>
      <c r="C36" s="17">
        <v>2.1442100000000002</v>
      </c>
      <c r="D36" s="17">
        <v>117.43368</v>
      </c>
      <c r="E36" s="3" t="s">
        <v>9</v>
      </c>
      <c r="F36" s="4" t="s">
        <v>91</v>
      </c>
      <c r="G36" s="10" t="s">
        <v>68</v>
      </c>
      <c r="H36" s="3">
        <v>4.5</v>
      </c>
      <c r="I36" s="26">
        <v>0.40400000000000003</v>
      </c>
      <c r="J36">
        <v>201</v>
      </c>
      <c r="M36" s="24"/>
    </row>
    <row r="37" spans="1:13" x14ac:dyDescent="0.35">
      <c r="A37" s="3" t="s">
        <v>84</v>
      </c>
      <c r="B37" s="4" t="s">
        <v>85</v>
      </c>
      <c r="C37" s="14" t="s">
        <v>68</v>
      </c>
      <c r="D37" s="14" t="s">
        <v>68</v>
      </c>
      <c r="E37" s="3" t="s">
        <v>86</v>
      </c>
      <c r="F37" s="11" t="str">
        <f>F35</f>
        <v>cek lagi atiq</v>
      </c>
      <c r="G37" s="10" t="s">
        <v>68</v>
      </c>
      <c r="H37" s="3">
        <v>6.7</v>
      </c>
      <c r="I37" t="s">
        <v>120</v>
      </c>
      <c r="M37" s="24"/>
    </row>
    <row r="38" spans="1:13" x14ac:dyDescent="0.35">
      <c r="A38" s="3" t="s">
        <v>87</v>
      </c>
      <c r="B38" s="4" t="s">
        <v>88</v>
      </c>
      <c r="C38" s="14" t="s">
        <v>68</v>
      </c>
      <c r="D38" s="14" t="s">
        <v>68</v>
      </c>
      <c r="E38" s="14" t="s">
        <v>86</v>
      </c>
      <c r="F38" s="14" t="s">
        <v>68</v>
      </c>
      <c r="G38" s="14" t="s">
        <v>68</v>
      </c>
      <c r="H38" s="3">
        <v>4.5</v>
      </c>
      <c r="I38" s="27" t="s">
        <v>121</v>
      </c>
      <c r="J38">
        <v>46</v>
      </c>
      <c r="M38" s="24"/>
    </row>
    <row r="39" spans="1:13" x14ac:dyDescent="0.35">
      <c r="A39" s="3" t="s">
        <v>89</v>
      </c>
      <c r="B39" s="4" t="s">
        <v>90</v>
      </c>
      <c r="C39" s="14" t="s">
        <v>68</v>
      </c>
      <c r="D39" s="14" t="s">
        <v>68</v>
      </c>
      <c r="E39" s="14" t="s">
        <v>86</v>
      </c>
      <c r="F39" s="14" t="s">
        <v>68</v>
      </c>
      <c r="G39" s="14" t="s">
        <v>68</v>
      </c>
      <c r="H39" s="3">
        <v>6.1</v>
      </c>
      <c r="I39">
        <v>9.4E-2</v>
      </c>
      <c r="J39">
        <v>46</v>
      </c>
      <c r="M39" s="24"/>
    </row>
  </sheetData>
  <sortState xmlns:xlrd2="http://schemas.microsoft.com/office/spreadsheetml/2017/richdata2" ref="A2:G28">
    <sortCondition ref="E2:E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D8ED-7420-449C-850F-3E248CA373A8}">
  <dimension ref="A1:H334"/>
  <sheetViews>
    <sheetView tabSelected="1" workbookViewId="0">
      <selection activeCell="F4" sqref="F4"/>
    </sheetView>
  </sheetViews>
  <sheetFormatPr defaultRowHeight="14.5" x14ac:dyDescent="0.35"/>
  <cols>
    <col min="1" max="1" width="39.6328125" style="3" bestFit="1" customWidth="1"/>
    <col min="2" max="4" width="8.7265625" style="3"/>
  </cols>
  <sheetData>
    <row r="1" spans="1:8" x14ac:dyDescent="0.35">
      <c r="A1" s="6" t="s">
        <v>0</v>
      </c>
      <c r="B1" s="6" t="s">
        <v>57</v>
      </c>
      <c r="C1" s="6" t="s">
        <v>58</v>
      </c>
      <c r="D1" s="6" t="s">
        <v>116</v>
      </c>
      <c r="E1" s="6" t="s">
        <v>130</v>
      </c>
      <c r="F1" s="6" t="s">
        <v>127</v>
      </c>
      <c r="G1" s="6" t="s">
        <v>128</v>
      </c>
      <c r="H1" s="6" t="s">
        <v>129</v>
      </c>
    </row>
    <row r="2" spans="1:8" x14ac:dyDescent="0.35">
      <c r="A2" s="4" t="s">
        <v>3</v>
      </c>
      <c r="B2" s="3">
        <v>0.09</v>
      </c>
      <c r="C2" s="3">
        <v>45</v>
      </c>
      <c r="D2" s="3" t="s">
        <v>117</v>
      </c>
      <c r="E2" s="3" t="str">
        <f>E3</f>
        <v>non saline</v>
      </c>
      <c r="F2" s="3">
        <f>1.1-B2</f>
        <v>1.01</v>
      </c>
      <c r="G2" s="3">
        <f>F2*12</f>
        <v>12.120000000000001</v>
      </c>
      <c r="H2" s="3">
        <f>G2</f>
        <v>12.120000000000001</v>
      </c>
    </row>
    <row r="3" spans="1:8" x14ac:dyDescent="0.35">
      <c r="A3" s="4" t="s">
        <v>18</v>
      </c>
      <c r="B3" s="3">
        <v>0.12</v>
      </c>
      <c r="C3" s="3">
        <v>53</v>
      </c>
      <c r="D3" s="3" t="s">
        <v>118</v>
      </c>
      <c r="E3" s="3" t="s">
        <v>126</v>
      </c>
      <c r="F3" s="3">
        <f>1.1-B3</f>
        <v>0.98000000000000009</v>
      </c>
      <c r="G3" s="3">
        <f>F3*12</f>
        <v>11.760000000000002</v>
      </c>
      <c r="H3" s="3">
        <f t="shared" ref="H3:H39" si="0">G3</f>
        <v>11.760000000000002</v>
      </c>
    </row>
    <row r="4" spans="1:8" x14ac:dyDescent="0.35">
      <c r="A4" s="3" t="s">
        <v>23</v>
      </c>
      <c r="B4" s="3">
        <v>1.014</v>
      </c>
      <c r="C4" s="3">
        <v>504</v>
      </c>
      <c r="D4" s="3" t="s">
        <v>117</v>
      </c>
      <c r="E4" s="3" t="str">
        <f>E5</f>
        <v>slightly saline</v>
      </c>
      <c r="F4" s="3">
        <v>0</v>
      </c>
      <c r="G4" s="3">
        <f t="shared" ref="G4:G39" si="1">F4*12</f>
        <v>0</v>
      </c>
      <c r="H4" s="3">
        <f t="shared" si="0"/>
        <v>0</v>
      </c>
    </row>
    <row r="5" spans="1:8" x14ac:dyDescent="0.35">
      <c r="A5" s="14" t="s">
        <v>24</v>
      </c>
      <c r="B5" s="14">
        <v>1.714</v>
      </c>
      <c r="C5" s="14">
        <v>561</v>
      </c>
      <c r="D5" s="14" t="s">
        <v>117</v>
      </c>
      <c r="E5" s="3" t="str">
        <f>E9</f>
        <v>slightly saline</v>
      </c>
      <c r="F5" s="3">
        <f>B5-1.2</f>
        <v>0.51400000000000001</v>
      </c>
      <c r="G5" s="3">
        <f t="shared" si="1"/>
        <v>6.1680000000000001</v>
      </c>
      <c r="H5" s="3">
        <f t="shared" si="0"/>
        <v>6.1680000000000001</v>
      </c>
    </row>
    <row r="6" spans="1:8" x14ac:dyDescent="0.35">
      <c r="A6" s="3" t="s">
        <v>29</v>
      </c>
      <c r="B6" s="3">
        <v>1.5980000000000001</v>
      </c>
      <c r="C6" s="3">
        <v>823</v>
      </c>
      <c r="D6" s="3" t="s">
        <v>117</v>
      </c>
      <c r="E6" s="3" t="s">
        <v>125</v>
      </c>
      <c r="F6" s="3">
        <f t="shared" ref="F6:F9" si="2">B6-1.2</f>
        <v>0.39800000000000013</v>
      </c>
      <c r="G6" s="3">
        <f t="shared" si="1"/>
        <v>4.7760000000000016</v>
      </c>
      <c r="H6" s="3">
        <f t="shared" si="0"/>
        <v>4.7760000000000016</v>
      </c>
    </row>
    <row r="7" spans="1:8" x14ac:dyDescent="0.35">
      <c r="A7" s="3" t="s">
        <v>30</v>
      </c>
      <c r="B7" s="3">
        <v>1.8320000000000001</v>
      </c>
      <c r="C7" s="3">
        <v>574</v>
      </c>
      <c r="E7" s="3" t="str">
        <f>E6</f>
        <v>slightly saline</v>
      </c>
      <c r="F7" s="3">
        <f t="shared" si="2"/>
        <v>0.63200000000000012</v>
      </c>
      <c r="G7" s="3">
        <f t="shared" si="1"/>
        <v>7.5840000000000014</v>
      </c>
      <c r="H7" s="3">
        <f t="shared" si="0"/>
        <v>7.5840000000000014</v>
      </c>
    </row>
    <row r="8" spans="1:8" x14ac:dyDescent="0.35">
      <c r="A8" s="3" t="s">
        <v>36</v>
      </c>
      <c r="B8" s="3">
        <v>1.28</v>
      </c>
      <c r="C8" s="3">
        <v>943</v>
      </c>
      <c r="E8" s="3" t="s">
        <v>125</v>
      </c>
      <c r="F8" s="3">
        <f t="shared" si="2"/>
        <v>8.0000000000000071E-2</v>
      </c>
      <c r="G8" s="3">
        <f t="shared" si="1"/>
        <v>0.96000000000000085</v>
      </c>
      <c r="H8" s="3">
        <f t="shared" si="0"/>
        <v>0.96000000000000085</v>
      </c>
    </row>
    <row r="9" spans="1:8" x14ac:dyDescent="0.35">
      <c r="A9" s="4" t="s">
        <v>6</v>
      </c>
      <c r="B9" s="3">
        <v>3.32</v>
      </c>
      <c r="C9" s="3">
        <v>1979</v>
      </c>
      <c r="E9" s="3" t="s">
        <v>125</v>
      </c>
      <c r="F9" s="3">
        <f t="shared" si="2"/>
        <v>2.12</v>
      </c>
      <c r="G9" s="3">
        <f t="shared" si="1"/>
        <v>25.44</v>
      </c>
      <c r="H9" s="3">
        <f t="shared" si="0"/>
        <v>25.44</v>
      </c>
    </row>
    <row r="10" spans="1:8" x14ac:dyDescent="0.35">
      <c r="A10" s="4" t="s">
        <v>10</v>
      </c>
      <c r="B10" s="3">
        <v>0.14799999999999999</v>
      </c>
      <c r="C10" s="3">
        <v>76</v>
      </c>
      <c r="E10" s="3" t="s">
        <v>126</v>
      </c>
      <c r="F10" s="3">
        <f>1.1-B10</f>
        <v>0.95200000000000007</v>
      </c>
      <c r="G10" s="3">
        <f t="shared" si="1"/>
        <v>11.424000000000001</v>
      </c>
      <c r="H10" s="3">
        <f t="shared" si="0"/>
        <v>11.424000000000001</v>
      </c>
    </row>
    <row r="11" spans="1:8" x14ac:dyDescent="0.35">
      <c r="A11" s="4" t="s">
        <v>11</v>
      </c>
      <c r="B11" s="3">
        <v>9.1999999999999998E-2</v>
      </c>
      <c r="C11" s="3">
        <v>44</v>
      </c>
      <c r="E11" s="3" t="s">
        <v>126</v>
      </c>
      <c r="F11" s="3">
        <f t="shared" ref="F11:F13" si="3">1.1-B11</f>
        <v>1.008</v>
      </c>
      <c r="G11" s="3">
        <f t="shared" si="1"/>
        <v>12.096</v>
      </c>
      <c r="H11" s="3">
        <f t="shared" si="0"/>
        <v>12.096</v>
      </c>
    </row>
    <row r="12" spans="1:8" x14ac:dyDescent="0.35">
      <c r="A12" s="4" t="s">
        <v>12</v>
      </c>
      <c r="B12" s="3">
        <v>0.51400000000000001</v>
      </c>
      <c r="C12" s="3">
        <v>364</v>
      </c>
      <c r="E12" s="3" t="s">
        <v>126</v>
      </c>
      <c r="F12" s="3">
        <f t="shared" si="3"/>
        <v>0.58600000000000008</v>
      </c>
      <c r="G12" s="3">
        <f t="shared" si="1"/>
        <v>7.0320000000000009</v>
      </c>
      <c r="H12" s="3">
        <f t="shared" si="0"/>
        <v>7.0320000000000009</v>
      </c>
    </row>
    <row r="13" spans="1:8" x14ac:dyDescent="0.35">
      <c r="A13" s="4" t="s">
        <v>14</v>
      </c>
      <c r="B13" s="3">
        <v>6.0000000000000001E-3</v>
      </c>
      <c r="C13" s="3">
        <v>3</v>
      </c>
      <c r="E13" s="3" t="s">
        <v>126</v>
      </c>
      <c r="F13" s="3">
        <f t="shared" si="3"/>
        <v>1.0940000000000001</v>
      </c>
      <c r="G13" s="3">
        <f t="shared" si="1"/>
        <v>13.128</v>
      </c>
      <c r="H13" s="3">
        <f t="shared" si="0"/>
        <v>13.128</v>
      </c>
    </row>
    <row r="14" spans="1:8" x14ac:dyDescent="0.35">
      <c r="A14" s="4" t="s">
        <v>15</v>
      </c>
      <c r="B14" s="3">
        <v>5.81</v>
      </c>
      <c r="C14" s="3">
        <v>2723</v>
      </c>
      <c r="D14" s="3" t="s">
        <v>119</v>
      </c>
      <c r="E14" s="3" t="s">
        <v>124</v>
      </c>
      <c r="F14" s="3">
        <f>B14-1.2</f>
        <v>4.6099999999999994</v>
      </c>
      <c r="G14" s="3">
        <f t="shared" si="1"/>
        <v>55.319999999999993</v>
      </c>
      <c r="H14" s="3">
        <f t="shared" si="0"/>
        <v>55.319999999999993</v>
      </c>
    </row>
    <row r="15" spans="1:8" x14ac:dyDescent="0.35">
      <c r="A15" s="4" t="s">
        <v>16</v>
      </c>
      <c r="B15" s="3">
        <v>0.14199999999999999</v>
      </c>
      <c r="C15" s="3">
        <v>71</v>
      </c>
      <c r="E15" s="3" t="str">
        <f>E13</f>
        <v>non saline</v>
      </c>
      <c r="F15" s="3">
        <f>1.1-B15</f>
        <v>0.95800000000000007</v>
      </c>
      <c r="G15" s="3">
        <f t="shared" si="1"/>
        <v>11.496</v>
      </c>
      <c r="H15" s="3">
        <f t="shared" si="0"/>
        <v>11.496</v>
      </c>
    </row>
    <row r="16" spans="1:8" x14ac:dyDescent="0.35">
      <c r="A16" s="4" t="s">
        <v>17</v>
      </c>
      <c r="B16" s="3">
        <v>1.7999999999999999E-2</v>
      </c>
      <c r="C16" s="3">
        <v>8</v>
      </c>
      <c r="E16" s="3" t="str">
        <f>E15</f>
        <v>non saline</v>
      </c>
      <c r="F16" s="3">
        <f t="shared" ref="F16:F18" si="4">1.1-B16</f>
        <v>1.0820000000000001</v>
      </c>
      <c r="G16" s="3">
        <f t="shared" si="1"/>
        <v>12.984000000000002</v>
      </c>
      <c r="H16" s="3">
        <f t="shared" si="0"/>
        <v>12.984000000000002</v>
      </c>
    </row>
    <row r="17" spans="1:8" x14ac:dyDescent="0.35">
      <c r="A17" s="4" t="s">
        <v>19</v>
      </c>
      <c r="B17" s="3">
        <v>0.57199999999999995</v>
      </c>
      <c r="C17" s="3">
        <v>367</v>
      </c>
      <c r="E17" s="3" t="str">
        <f t="shared" ref="E17:E18" si="5">E15</f>
        <v>non saline</v>
      </c>
      <c r="F17" s="3">
        <f t="shared" si="4"/>
        <v>0.52800000000000014</v>
      </c>
      <c r="G17" s="3">
        <f t="shared" si="1"/>
        <v>6.3360000000000021</v>
      </c>
      <c r="H17" s="3">
        <f t="shared" si="0"/>
        <v>6.3360000000000021</v>
      </c>
    </row>
    <row r="18" spans="1:8" x14ac:dyDescent="0.35">
      <c r="A18" s="4" t="s">
        <v>102</v>
      </c>
      <c r="B18" s="3">
        <v>0.11</v>
      </c>
      <c r="C18" s="3">
        <v>50</v>
      </c>
      <c r="E18" s="3" t="str">
        <f t="shared" si="5"/>
        <v>non saline</v>
      </c>
      <c r="F18" s="3">
        <f t="shared" si="4"/>
        <v>0.9900000000000001</v>
      </c>
      <c r="G18" s="3">
        <f t="shared" si="1"/>
        <v>11.88</v>
      </c>
      <c r="H18" s="3">
        <f t="shared" si="0"/>
        <v>11.88</v>
      </c>
    </row>
    <row r="19" spans="1:8" x14ac:dyDescent="0.35">
      <c r="A19" s="3" t="s">
        <v>25</v>
      </c>
      <c r="B19" s="3" t="s">
        <v>123</v>
      </c>
      <c r="C19" s="3" t="s">
        <v>123</v>
      </c>
      <c r="E19" s="3"/>
      <c r="F19" s="3"/>
      <c r="G19" s="3"/>
      <c r="H19" s="3"/>
    </row>
    <row r="20" spans="1:8" x14ac:dyDescent="0.35">
      <c r="A20" s="3" t="s">
        <v>26</v>
      </c>
      <c r="B20" s="3" t="s">
        <v>123</v>
      </c>
      <c r="C20" s="3" t="s">
        <v>123</v>
      </c>
      <c r="E20" s="3"/>
      <c r="F20" s="3"/>
      <c r="G20" s="3"/>
      <c r="H20" s="3"/>
    </row>
    <row r="21" spans="1:8" x14ac:dyDescent="0.35">
      <c r="A21" s="3" t="s">
        <v>27</v>
      </c>
      <c r="B21" s="3" t="s">
        <v>123</v>
      </c>
      <c r="C21" s="3" t="s">
        <v>123</v>
      </c>
      <c r="E21" s="3"/>
      <c r="F21" s="3"/>
      <c r="G21" s="3"/>
      <c r="H21" s="3"/>
    </row>
    <row r="22" spans="1:8" x14ac:dyDescent="0.35">
      <c r="A22" s="3" t="s">
        <v>28</v>
      </c>
      <c r="B22" s="3" t="s">
        <v>123</v>
      </c>
      <c r="C22" s="3" t="s">
        <v>123</v>
      </c>
      <c r="E22" s="3"/>
      <c r="F22" s="3"/>
      <c r="G22" s="3"/>
      <c r="H22" s="3"/>
    </row>
    <row r="23" spans="1:8" x14ac:dyDescent="0.35">
      <c r="A23" s="3" t="s">
        <v>31</v>
      </c>
      <c r="B23" s="3">
        <v>0.26600000000000001</v>
      </c>
      <c r="C23" s="3">
        <v>126</v>
      </c>
      <c r="E23" s="3" t="str">
        <f>E18</f>
        <v>non saline</v>
      </c>
      <c r="F23" s="3">
        <f t="shared" ref="F23:F27" si="6">1.1-B23</f>
        <v>0.83400000000000007</v>
      </c>
      <c r="G23" s="3">
        <f t="shared" si="1"/>
        <v>10.008000000000001</v>
      </c>
      <c r="H23" s="3">
        <f t="shared" si="0"/>
        <v>10.008000000000001</v>
      </c>
    </row>
    <row r="24" spans="1:8" x14ac:dyDescent="0.35">
      <c r="A24" s="3" t="s">
        <v>32</v>
      </c>
      <c r="B24" s="3">
        <v>0.11600000000000001</v>
      </c>
      <c r="C24" s="3">
        <v>50</v>
      </c>
      <c r="E24" s="3" t="str">
        <f>E23</f>
        <v>non saline</v>
      </c>
      <c r="F24" s="3">
        <f t="shared" si="6"/>
        <v>0.9840000000000001</v>
      </c>
      <c r="G24" s="3">
        <f t="shared" si="1"/>
        <v>11.808000000000002</v>
      </c>
      <c r="H24" s="3">
        <f t="shared" si="0"/>
        <v>11.808000000000002</v>
      </c>
    </row>
    <row r="25" spans="1:8" x14ac:dyDescent="0.35">
      <c r="A25" s="3" t="s">
        <v>33</v>
      </c>
      <c r="E25" s="3"/>
      <c r="F25" s="3"/>
      <c r="G25" s="3"/>
      <c r="H25" s="3"/>
    </row>
    <row r="26" spans="1:8" x14ac:dyDescent="0.35">
      <c r="A26" s="3" t="s">
        <v>65</v>
      </c>
      <c r="B26" s="3">
        <v>4.2000000000000003E-2</v>
      </c>
      <c r="C26" s="3">
        <v>64</v>
      </c>
      <c r="E26" s="3" t="str">
        <f>E23</f>
        <v>non saline</v>
      </c>
      <c r="F26" s="3">
        <f t="shared" si="6"/>
        <v>1.0580000000000001</v>
      </c>
      <c r="G26" s="3">
        <f t="shared" si="1"/>
        <v>12.696000000000002</v>
      </c>
      <c r="H26" s="3">
        <f t="shared" si="0"/>
        <v>12.696000000000002</v>
      </c>
    </row>
    <row r="27" spans="1:8" x14ac:dyDescent="0.35">
      <c r="A27" s="3" t="s">
        <v>34</v>
      </c>
      <c r="B27" s="3">
        <v>0.06</v>
      </c>
      <c r="C27" s="3">
        <v>33</v>
      </c>
      <c r="D27" s="3" t="s">
        <v>118</v>
      </c>
      <c r="E27" s="3" t="str">
        <f>E26</f>
        <v>non saline</v>
      </c>
      <c r="F27" s="3">
        <f t="shared" si="6"/>
        <v>1.04</v>
      </c>
      <c r="G27" s="3">
        <f t="shared" si="1"/>
        <v>12.48</v>
      </c>
      <c r="H27" s="3">
        <f t="shared" si="0"/>
        <v>12.48</v>
      </c>
    </row>
    <row r="28" spans="1:8" x14ac:dyDescent="0.35">
      <c r="A28" s="3" t="s">
        <v>35</v>
      </c>
      <c r="B28" s="3">
        <v>0.19600000000000001</v>
      </c>
      <c r="C28" s="3">
        <v>98</v>
      </c>
      <c r="E28" s="3"/>
      <c r="F28" s="3"/>
      <c r="G28" s="3"/>
      <c r="H28" s="3"/>
    </row>
    <row r="29" spans="1:8" x14ac:dyDescent="0.35">
      <c r="A29" s="3" t="s">
        <v>60</v>
      </c>
      <c r="B29" s="3">
        <v>0.21099999999999999</v>
      </c>
      <c r="C29" s="3">
        <v>136</v>
      </c>
      <c r="E29" s="3"/>
      <c r="F29" s="3"/>
      <c r="G29" s="3"/>
      <c r="H29" s="3"/>
    </row>
    <row r="30" spans="1:8" x14ac:dyDescent="0.35">
      <c r="A30" s="3" t="s">
        <v>66</v>
      </c>
      <c r="B30" s="3">
        <v>0.104</v>
      </c>
      <c r="E30" s="3" t="str">
        <f t="shared" ref="E30" si="7">E27</f>
        <v>non saline</v>
      </c>
      <c r="F30" s="3">
        <f t="shared" ref="F30:F39" si="8">1.1-B30</f>
        <v>0.99600000000000011</v>
      </c>
      <c r="G30" s="3">
        <f t="shared" si="1"/>
        <v>11.952000000000002</v>
      </c>
      <c r="H30" s="3">
        <f t="shared" si="0"/>
        <v>11.952000000000002</v>
      </c>
    </row>
    <row r="31" spans="1:8" x14ac:dyDescent="0.35">
      <c r="A31" s="3" t="s">
        <v>69</v>
      </c>
      <c r="B31" s="3">
        <v>0.318</v>
      </c>
      <c r="C31" s="3">
        <v>285</v>
      </c>
      <c r="E31" s="3" t="str">
        <f t="shared" ref="E31" si="9">E30</f>
        <v>non saline</v>
      </c>
      <c r="F31" s="3">
        <f t="shared" si="8"/>
        <v>0.78200000000000003</v>
      </c>
      <c r="G31" s="3">
        <f t="shared" si="1"/>
        <v>9.3840000000000003</v>
      </c>
      <c r="H31" s="3">
        <f t="shared" si="0"/>
        <v>9.3840000000000003</v>
      </c>
    </row>
    <row r="32" spans="1:8" x14ac:dyDescent="0.35">
      <c r="A32" s="3" t="s">
        <v>72</v>
      </c>
      <c r="B32" s="3" t="s">
        <v>122</v>
      </c>
      <c r="C32" s="3" t="s">
        <v>122</v>
      </c>
      <c r="E32" s="3"/>
      <c r="F32" s="3"/>
      <c r="G32" s="3"/>
      <c r="H32" s="3"/>
    </row>
    <row r="33" spans="1:8" x14ac:dyDescent="0.35">
      <c r="A33" s="3" t="s">
        <v>75</v>
      </c>
      <c r="B33" s="3">
        <v>7.8E-2</v>
      </c>
      <c r="C33" s="3">
        <v>39</v>
      </c>
      <c r="E33" s="3" t="str">
        <f>E31</f>
        <v>non saline</v>
      </c>
      <c r="F33" s="3">
        <f t="shared" si="8"/>
        <v>1.022</v>
      </c>
      <c r="G33" s="3">
        <f t="shared" si="1"/>
        <v>12.263999999999999</v>
      </c>
      <c r="H33" s="3">
        <f t="shared" si="0"/>
        <v>12.263999999999999</v>
      </c>
    </row>
    <row r="34" spans="1:8" x14ac:dyDescent="0.35">
      <c r="A34" s="3" t="s">
        <v>77</v>
      </c>
      <c r="B34" s="3">
        <v>1.3660000000000001</v>
      </c>
      <c r="C34" s="3">
        <v>668</v>
      </c>
      <c r="E34" s="3" t="s">
        <v>125</v>
      </c>
      <c r="F34" s="3">
        <f>F7</f>
        <v>0.63200000000000012</v>
      </c>
      <c r="G34" s="3">
        <f t="shared" si="1"/>
        <v>7.5840000000000014</v>
      </c>
      <c r="H34" s="3">
        <f t="shared" si="0"/>
        <v>7.5840000000000014</v>
      </c>
    </row>
    <row r="35" spans="1:8" x14ac:dyDescent="0.35">
      <c r="A35" s="3" t="s">
        <v>79</v>
      </c>
      <c r="B35" s="3">
        <v>0.13</v>
      </c>
      <c r="C35" s="3">
        <v>65</v>
      </c>
      <c r="E35" s="3" t="str">
        <f>E33</f>
        <v>non saline</v>
      </c>
      <c r="F35" s="3">
        <f t="shared" si="8"/>
        <v>0.97000000000000008</v>
      </c>
      <c r="G35" s="3">
        <f t="shared" si="1"/>
        <v>11.64</v>
      </c>
      <c r="H35" s="3">
        <f t="shared" si="0"/>
        <v>11.64</v>
      </c>
    </row>
    <row r="36" spans="1:8" x14ac:dyDescent="0.35">
      <c r="A36" s="3" t="s">
        <v>81</v>
      </c>
      <c r="B36" s="3">
        <v>0.40400000000000003</v>
      </c>
      <c r="C36" s="3">
        <v>201</v>
      </c>
      <c r="E36" s="3" t="str">
        <f>E33</f>
        <v>non saline</v>
      </c>
      <c r="F36" s="3">
        <f t="shared" si="8"/>
        <v>0.69600000000000006</v>
      </c>
      <c r="G36" s="3">
        <f t="shared" si="1"/>
        <v>8.3520000000000003</v>
      </c>
      <c r="H36" s="3">
        <f t="shared" si="0"/>
        <v>8.3520000000000003</v>
      </c>
    </row>
    <row r="37" spans="1:8" x14ac:dyDescent="0.35">
      <c r="A37" s="3" t="s">
        <v>84</v>
      </c>
      <c r="B37" s="3" t="s">
        <v>120</v>
      </c>
      <c r="E37" s="3"/>
      <c r="F37" s="3"/>
      <c r="G37" s="3"/>
      <c r="H37" s="3"/>
    </row>
    <row r="38" spans="1:8" x14ac:dyDescent="0.35">
      <c r="A38" s="3" t="s">
        <v>87</v>
      </c>
      <c r="B38" s="14">
        <v>0.92</v>
      </c>
      <c r="C38" s="3">
        <v>46</v>
      </c>
      <c r="E38" s="3" t="str">
        <f>E33</f>
        <v>non saline</v>
      </c>
      <c r="F38" s="3">
        <f t="shared" si="8"/>
        <v>0.18000000000000005</v>
      </c>
      <c r="G38" s="3">
        <f t="shared" si="1"/>
        <v>2.1600000000000006</v>
      </c>
      <c r="H38" s="3">
        <f t="shared" si="0"/>
        <v>2.1600000000000006</v>
      </c>
    </row>
    <row r="39" spans="1:8" x14ac:dyDescent="0.35">
      <c r="A39" s="3" t="s">
        <v>89</v>
      </c>
      <c r="B39" s="3">
        <v>9.4E-2</v>
      </c>
      <c r="C39" s="3">
        <v>46</v>
      </c>
      <c r="E39" s="3" t="str">
        <f>E38</f>
        <v>non saline</v>
      </c>
      <c r="F39" s="3">
        <f t="shared" si="8"/>
        <v>1.006</v>
      </c>
      <c r="G39" s="3">
        <f t="shared" si="1"/>
        <v>12.071999999999999</v>
      </c>
      <c r="H39" s="3">
        <f t="shared" si="0"/>
        <v>12.071999999999999</v>
      </c>
    </row>
    <row r="40" spans="1:8" s="29" customFormat="1" x14ac:dyDescent="0.35"/>
    <row r="41" spans="1:8" s="29" customFormat="1" x14ac:dyDescent="0.35"/>
    <row r="42" spans="1:8" s="29" customFormat="1" x14ac:dyDescent="0.35"/>
    <row r="43" spans="1:8" s="29" customFormat="1" x14ac:dyDescent="0.35"/>
    <row r="44" spans="1:8" s="29" customFormat="1" x14ac:dyDescent="0.35"/>
    <row r="45" spans="1:8" s="29" customFormat="1" x14ac:dyDescent="0.35"/>
    <row r="46" spans="1:8" s="29" customFormat="1" x14ac:dyDescent="0.35"/>
    <row r="47" spans="1:8" s="29" customFormat="1" x14ac:dyDescent="0.35"/>
    <row r="48" spans="1:8" s="29" customFormat="1" x14ac:dyDescent="0.35"/>
    <row r="49" s="29" customFormat="1" x14ac:dyDescent="0.35"/>
    <row r="50" s="29" customFormat="1" x14ac:dyDescent="0.35"/>
    <row r="51" s="29" customFormat="1" x14ac:dyDescent="0.35"/>
    <row r="52" s="29" customFormat="1" x14ac:dyDescent="0.35"/>
    <row r="53" s="29" customFormat="1" x14ac:dyDescent="0.35"/>
    <row r="54" s="29" customFormat="1" x14ac:dyDescent="0.35"/>
    <row r="55" s="29" customFormat="1" x14ac:dyDescent="0.35"/>
    <row r="56" s="29" customFormat="1" x14ac:dyDescent="0.35"/>
    <row r="57" s="29" customFormat="1" x14ac:dyDescent="0.35"/>
    <row r="58" s="29" customFormat="1" x14ac:dyDescent="0.35"/>
    <row r="59" s="29" customFormat="1" x14ac:dyDescent="0.35"/>
    <row r="60" s="29" customFormat="1" x14ac:dyDescent="0.35"/>
    <row r="61" s="29" customFormat="1" x14ac:dyDescent="0.35"/>
    <row r="62" s="29" customFormat="1" x14ac:dyDescent="0.35"/>
    <row r="63" s="29" customFormat="1" x14ac:dyDescent="0.35"/>
    <row r="64" s="29" customFormat="1" x14ac:dyDescent="0.35"/>
    <row r="65" s="29" customFormat="1" x14ac:dyDescent="0.35"/>
    <row r="66" s="29" customFormat="1" x14ac:dyDescent="0.35"/>
    <row r="67" s="29" customFormat="1" x14ac:dyDescent="0.35"/>
    <row r="68" s="29" customFormat="1" x14ac:dyDescent="0.35"/>
    <row r="69" s="29" customFormat="1" x14ac:dyDescent="0.35"/>
    <row r="70" s="29" customFormat="1" x14ac:dyDescent="0.35"/>
    <row r="71" s="29" customFormat="1" x14ac:dyDescent="0.35"/>
    <row r="72" s="29" customFormat="1" x14ac:dyDescent="0.35"/>
    <row r="73" s="29" customFormat="1" x14ac:dyDescent="0.35"/>
    <row r="74" s="29" customFormat="1" x14ac:dyDescent="0.35"/>
    <row r="75" s="29" customFormat="1" x14ac:dyDescent="0.35"/>
    <row r="76" s="29" customFormat="1" x14ac:dyDescent="0.35"/>
    <row r="77" s="29" customFormat="1" x14ac:dyDescent="0.35"/>
    <row r="78" s="29" customFormat="1" x14ac:dyDescent="0.35"/>
    <row r="79" s="29" customFormat="1" x14ac:dyDescent="0.35"/>
    <row r="80" s="29" customFormat="1" x14ac:dyDescent="0.35"/>
    <row r="81" s="29" customFormat="1" x14ac:dyDescent="0.35"/>
    <row r="82" s="29" customFormat="1" x14ac:dyDescent="0.35"/>
    <row r="83" s="29" customFormat="1" x14ac:dyDescent="0.35"/>
    <row r="84" s="29" customFormat="1" x14ac:dyDescent="0.35"/>
    <row r="85" s="29" customFormat="1" x14ac:dyDescent="0.35"/>
    <row r="86" s="29" customFormat="1" x14ac:dyDescent="0.35"/>
    <row r="87" s="29" customFormat="1" x14ac:dyDescent="0.35"/>
    <row r="88" s="29" customFormat="1" x14ac:dyDescent="0.35"/>
    <row r="89" s="29" customFormat="1" x14ac:dyDescent="0.35"/>
    <row r="90" s="29" customFormat="1" x14ac:dyDescent="0.35"/>
    <row r="91" s="29" customFormat="1" x14ac:dyDescent="0.35"/>
    <row r="92" s="29" customFormat="1" x14ac:dyDescent="0.35"/>
    <row r="93" s="29" customFormat="1" x14ac:dyDescent="0.35"/>
    <row r="94" s="29" customFormat="1" x14ac:dyDescent="0.35"/>
    <row r="95" s="29" customFormat="1" x14ac:dyDescent="0.35"/>
    <row r="96" s="29" customFormat="1" x14ac:dyDescent="0.35"/>
    <row r="97" s="29" customFormat="1" x14ac:dyDescent="0.35"/>
    <row r="98" s="29" customFormat="1" x14ac:dyDescent="0.35"/>
    <row r="99" s="29" customFormat="1" x14ac:dyDescent="0.35"/>
    <row r="100" s="29" customFormat="1" x14ac:dyDescent="0.35"/>
    <row r="101" s="29" customFormat="1" x14ac:dyDescent="0.35"/>
    <row r="102" s="29" customFormat="1" x14ac:dyDescent="0.35"/>
    <row r="103" s="29" customFormat="1" x14ac:dyDescent="0.35"/>
    <row r="104" s="29" customFormat="1" x14ac:dyDescent="0.35"/>
    <row r="105" s="29" customFormat="1" x14ac:dyDescent="0.35"/>
    <row r="106" s="29" customFormat="1" x14ac:dyDescent="0.35"/>
    <row r="107" s="29" customFormat="1" x14ac:dyDescent="0.35"/>
    <row r="108" s="29" customFormat="1" x14ac:dyDescent="0.35"/>
    <row r="109" s="29" customFormat="1" x14ac:dyDescent="0.35"/>
    <row r="110" s="29" customFormat="1" x14ac:dyDescent="0.35"/>
    <row r="111" s="29" customFormat="1" x14ac:dyDescent="0.35"/>
    <row r="112" s="29" customFormat="1" x14ac:dyDescent="0.35"/>
    <row r="113" s="29" customFormat="1" x14ac:dyDescent="0.35"/>
    <row r="114" s="29" customFormat="1" x14ac:dyDescent="0.35"/>
    <row r="115" s="29" customFormat="1" x14ac:dyDescent="0.35"/>
    <row r="116" s="29" customFormat="1" x14ac:dyDescent="0.35"/>
    <row r="117" s="29" customFormat="1" x14ac:dyDescent="0.35"/>
    <row r="118" s="29" customFormat="1" x14ac:dyDescent="0.35"/>
    <row r="119" s="29" customFormat="1" x14ac:dyDescent="0.35"/>
    <row r="120" s="29" customFormat="1" x14ac:dyDescent="0.35"/>
    <row r="121" s="29" customFormat="1" x14ac:dyDescent="0.35"/>
    <row r="122" s="29" customFormat="1" x14ac:dyDescent="0.35"/>
    <row r="123" s="29" customFormat="1" x14ac:dyDescent="0.35"/>
    <row r="124" s="29" customFormat="1" x14ac:dyDescent="0.35"/>
    <row r="125" s="29" customFormat="1" x14ac:dyDescent="0.35"/>
    <row r="126" s="29" customFormat="1" x14ac:dyDescent="0.35"/>
    <row r="127" s="29" customFormat="1" x14ac:dyDescent="0.35"/>
    <row r="128" s="29" customFormat="1" x14ac:dyDescent="0.35"/>
    <row r="129" s="29" customFormat="1" x14ac:dyDescent="0.35"/>
    <row r="130" s="29" customFormat="1" x14ac:dyDescent="0.35"/>
    <row r="131" s="29" customFormat="1" x14ac:dyDescent="0.35"/>
    <row r="132" s="29" customFormat="1" x14ac:dyDescent="0.35"/>
    <row r="133" s="29" customFormat="1" x14ac:dyDescent="0.35"/>
    <row r="134" s="29" customFormat="1" x14ac:dyDescent="0.35"/>
    <row r="135" s="29" customFormat="1" x14ac:dyDescent="0.35"/>
    <row r="136" s="29" customFormat="1" x14ac:dyDescent="0.35"/>
    <row r="137" s="29" customFormat="1" x14ac:dyDescent="0.35"/>
    <row r="138" s="29" customFormat="1" x14ac:dyDescent="0.35"/>
    <row r="139" s="29" customFormat="1" x14ac:dyDescent="0.35"/>
    <row r="140" s="29" customFormat="1" x14ac:dyDescent="0.35"/>
    <row r="141" s="29" customFormat="1" x14ac:dyDescent="0.35"/>
    <row r="142" s="29" customFormat="1" x14ac:dyDescent="0.35"/>
    <row r="143" s="29" customFormat="1" x14ac:dyDescent="0.35"/>
    <row r="144" s="29" customFormat="1" x14ac:dyDescent="0.35"/>
    <row r="145" s="29" customFormat="1" x14ac:dyDescent="0.35"/>
    <row r="146" s="29" customFormat="1" x14ac:dyDescent="0.35"/>
    <row r="147" s="29" customFormat="1" x14ac:dyDescent="0.35"/>
    <row r="148" s="29" customFormat="1" x14ac:dyDescent="0.35"/>
    <row r="149" s="29" customFormat="1" x14ac:dyDescent="0.35"/>
    <row r="150" s="29" customFormat="1" x14ac:dyDescent="0.35"/>
    <row r="151" s="29" customFormat="1" x14ac:dyDescent="0.35"/>
    <row r="152" s="29" customFormat="1" x14ac:dyDescent="0.35"/>
    <row r="153" s="29" customFormat="1" x14ac:dyDescent="0.35"/>
    <row r="154" s="29" customFormat="1" x14ac:dyDescent="0.35"/>
    <row r="155" s="29" customFormat="1" x14ac:dyDescent="0.35"/>
    <row r="156" s="29" customFormat="1" x14ac:dyDescent="0.35"/>
    <row r="157" s="29" customFormat="1" x14ac:dyDescent="0.35"/>
    <row r="158" s="29" customFormat="1" x14ac:dyDescent="0.35"/>
    <row r="159" s="29" customFormat="1" x14ac:dyDescent="0.35"/>
    <row r="160" s="29" customFormat="1" x14ac:dyDescent="0.35"/>
    <row r="161" s="29" customFormat="1" x14ac:dyDescent="0.35"/>
    <row r="162" s="29" customFormat="1" x14ac:dyDescent="0.35"/>
    <row r="163" s="29" customFormat="1" x14ac:dyDescent="0.35"/>
    <row r="164" s="29" customFormat="1" x14ac:dyDescent="0.35"/>
    <row r="165" s="29" customFormat="1" x14ac:dyDescent="0.35"/>
    <row r="166" s="29" customFormat="1" x14ac:dyDescent="0.35"/>
    <row r="167" s="29" customFormat="1" x14ac:dyDescent="0.35"/>
    <row r="168" s="29" customFormat="1" x14ac:dyDescent="0.35"/>
    <row r="169" s="29" customFormat="1" x14ac:dyDescent="0.35"/>
    <row r="170" s="29" customFormat="1" x14ac:dyDescent="0.35"/>
    <row r="171" s="29" customFormat="1" x14ac:dyDescent="0.35"/>
    <row r="172" s="29" customFormat="1" x14ac:dyDescent="0.35"/>
    <row r="173" s="29" customFormat="1" x14ac:dyDescent="0.35"/>
    <row r="174" s="29" customFormat="1" x14ac:dyDescent="0.35"/>
    <row r="175" s="29" customFormat="1" x14ac:dyDescent="0.35"/>
    <row r="176" s="29" customFormat="1" x14ac:dyDescent="0.35"/>
    <row r="177" s="29" customFormat="1" x14ac:dyDescent="0.35"/>
    <row r="178" s="29" customFormat="1" x14ac:dyDescent="0.35"/>
    <row r="179" s="29" customFormat="1" x14ac:dyDescent="0.35"/>
    <row r="180" s="29" customFormat="1" x14ac:dyDescent="0.35"/>
    <row r="181" s="29" customFormat="1" x14ac:dyDescent="0.35"/>
    <row r="182" s="29" customFormat="1" x14ac:dyDescent="0.35"/>
    <row r="183" s="29" customFormat="1" x14ac:dyDescent="0.35"/>
    <row r="184" s="29" customFormat="1" x14ac:dyDescent="0.35"/>
    <row r="185" s="29" customFormat="1" x14ac:dyDescent="0.35"/>
    <row r="186" s="29" customFormat="1" x14ac:dyDescent="0.35"/>
    <row r="187" s="29" customFormat="1" x14ac:dyDescent="0.35"/>
    <row r="188" s="29" customFormat="1" x14ac:dyDescent="0.35"/>
    <row r="189" s="29" customFormat="1" x14ac:dyDescent="0.35"/>
    <row r="190" s="29" customFormat="1" x14ac:dyDescent="0.35"/>
    <row r="191" s="29" customFormat="1" x14ac:dyDescent="0.35"/>
    <row r="192" s="29" customFormat="1" x14ac:dyDescent="0.35"/>
    <row r="193" s="29" customFormat="1" x14ac:dyDescent="0.35"/>
    <row r="194" s="29" customFormat="1" x14ac:dyDescent="0.35"/>
    <row r="195" s="29" customFormat="1" x14ac:dyDescent="0.35"/>
    <row r="196" s="29" customFormat="1" x14ac:dyDescent="0.35"/>
    <row r="197" s="29" customFormat="1" x14ac:dyDescent="0.35"/>
    <row r="198" s="29" customFormat="1" x14ac:dyDescent="0.35"/>
    <row r="199" s="29" customFormat="1" x14ac:dyDescent="0.35"/>
    <row r="200" s="29" customFormat="1" x14ac:dyDescent="0.35"/>
    <row r="201" s="29" customFormat="1" x14ac:dyDescent="0.35"/>
    <row r="202" s="29" customFormat="1" x14ac:dyDescent="0.35"/>
    <row r="203" s="29" customFormat="1" x14ac:dyDescent="0.35"/>
    <row r="204" s="29" customFormat="1" x14ac:dyDescent="0.35"/>
    <row r="205" s="29" customFormat="1" x14ac:dyDescent="0.35"/>
    <row r="206" s="29" customFormat="1" x14ac:dyDescent="0.35"/>
    <row r="207" s="29" customFormat="1" x14ac:dyDescent="0.35"/>
    <row r="208" s="29" customFormat="1" x14ac:dyDescent="0.35"/>
    <row r="209" s="29" customFormat="1" x14ac:dyDescent="0.35"/>
    <row r="210" s="29" customFormat="1" x14ac:dyDescent="0.35"/>
    <row r="211" s="29" customFormat="1" x14ac:dyDescent="0.35"/>
    <row r="212" s="29" customFormat="1" x14ac:dyDescent="0.35"/>
    <row r="213" s="29" customFormat="1" x14ac:dyDescent="0.35"/>
    <row r="214" s="29" customFormat="1" x14ac:dyDescent="0.35"/>
    <row r="215" s="29" customFormat="1" x14ac:dyDescent="0.35"/>
    <row r="216" s="29" customFormat="1" x14ac:dyDescent="0.35"/>
    <row r="217" s="29" customFormat="1" x14ac:dyDescent="0.35"/>
    <row r="218" s="29" customFormat="1" x14ac:dyDescent="0.35"/>
    <row r="219" s="29" customFormat="1" x14ac:dyDescent="0.35"/>
    <row r="220" s="29" customFormat="1" x14ac:dyDescent="0.35"/>
    <row r="221" s="29" customFormat="1" x14ac:dyDescent="0.35"/>
    <row r="222" s="29" customFormat="1" x14ac:dyDescent="0.35"/>
    <row r="223" s="29" customFormat="1" x14ac:dyDescent="0.35"/>
    <row r="224" s="29" customFormat="1" x14ac:dyDescent="0.35"/>
    <row r="225" s="29" customFormat="1" x14ac:dyDescent="0.35"/>
    <row r="226" s="29" customFormat="1" x14ac:dyDescent="0.35"/>
    <row r="227" s="29" customFormat="1" x14ac:dyDescent="0.35"/>
    <row r="228" s="29" customFormat="1" x14ac:dyDescent="0.35"/>
    <row r="229" s="29" customFormat="1" x14ac:dyDescent="0.35"/>
    <row r="230" s="29" customFormat="1" x14ac:dyDescent="0.35"/>
    <row r="231" s="29" customFormat="1" x14ac:dyDescent="0.35"/>
    <row r="232" s="29" customFormat="1" x14ac:dyDescent="0.35"/>
    <row r="233" s="29" customFormat="1" x14ac:dyDescent="0.35"/>
    <row r="234" s="29" customFormat="1" x14ac:dyDescent="0.35"/>
    <row r="235" s="29" customFormat="1" x14ac:dyDescent="0.35"/>
    <row r="236" s="29" customFormat="1" x14ac:dyDescent="0.35"/>
    <row r="237" s="29" customFormat="1" x14ac:dyDescent="0.35"/>
    <row r="238" s="29" customFormat="1" x14ac:dyDescent="0.35"/>
    <row r="239" s="29" customFormat="1" x14ac:dyDescent="0.35"/>
    <row r="240" s="29" customFormat="1" x14ac:dyDescent="0.35"/>
    <row r="241" s="29" customFormat="1" x14ac:dyDescent="0.35"/>
    <row r="242" s="29" customFormat="1" x14ac:dyDescent="0.35"/>
    <row r="243" s="29" customFormat="1" x14ac:dyDescent="0.35"/>
    <row r="244" s="29" customFormat="1" x14ac:dyDescent="0.35"/>
    <row r="245" s="29" customFormat="1" x14ac:dyDescent="0.35"/>
    <row r="246" s="29" customFormat="1" x14ac:dyDescent="0.35"/>
    <row r="247" s="29" customFormat="1" x14ac:dyDescent="0.35"/>
    <row r="248" s="29" customFormat="1" x14ac:dyDescent="0.35"/>
    <row r="249" s="29" customFormat="1" x14ac:dyDescent="0.35"/>
    <row r="250" s="29" customFormat="1" x14ac:dyDescent="0.35"/>
    <row r="251" s="29" customFormat="1" x14ac:dyDescent="0.35"/>
    <row r="252" s="29" customFormat="1" x14ac:dyDescent="0.35"/>
    <row r="253" s="29" customFormat="1" x14ac:dyDescent="0.35"/>
    <row r="254" s="29" customFormat="1" x14ac:dyDescent="0.35"/>
    <row r="255" s="29" customFormat="1" x14ac:dyDescent="0.35"/>
    <row r="256" s="29" customFormat="1" x14ac:dyDescent="0.35"/>
    <row r="257" s="29" customFormat="1" x14ac:dyDescent="0.35"/>
    <row r="258" s="29" customFormat="1" x14ac:dyDescent="0.35"/>
    <row r="259" s="29" customFormat="1" x14ac:dyDescent="0.35"/>
    <row r="260" s="29" customFormat="1" x14ac:dyDescent="0.35"/>
    <row r="261" s="29" customFormat="1" x14ac:dyDescent="0.35"/>
    <row r="262" s="29" customFormat="1" x14ac:dyDescent="0.35"/>
    <row r="263" s="29" customFormat="1" x14ac:dyDescent="0.35"/>
    <row r="264" s="29" customFormat="1" x14ac:dyDescent="0.35"/>
    <row r="265" s="29" customFormat="1" x14ac:dyDescent="0.35"/>
    <row r="266" s="29" customFormat="1" x14ac:dyDescent="0.35"/>
    <row r="267" s="29" customFormat="1" x14ac:dyDescent="0.35"/>
    <row r="268" s="29" customFormat="1" x14ac:dyDescent="0.35"/>
    <row r="269" s="29" customFormat="1" x14ac:dyDescent="0.35"/>
    <row r="270" s="29" customFormat="1" x14ac:dyDescent="0.35"/>
    <row r="271" s="29" customFormat="1" x14ac:dyDescent="0.35"/>
    <row r="272" s="29" customFormat="1" x14ac:dyDescent="0.35"/>
    <row r="273" s="29" customFormat="1" x14ac:dyDescent="0.35"/>
    <row r="274" s="29" customFormat="1" x14ac:dyDescent="0.35"/>
    <row r="275" s="29" customFormat="1" x14ac:dyDescent="0.35"/>
    <row r="276" s="29" customFormat="1" x14ac:dyDescent="0.35"/>
    <row r="277" s="29" customFormat="1" x14ac:dyDescent="0.35"/>
    <row r="278" s="29" customFormat="1" x14ac:dyDescent="0.35"/>
    <row r="279" s="29" customFormat="1" x14ac:dyDescent="0.35"/>
    <row r="280" s="29" customFormat="1" x14ac:dyDescent="0.35"/>
    <row r="281" s="29" customFormat="1" x14ac:dyDescent="0.35"/>
    <row r="282" s="29" customFormat="1" x14ac:dyDescent="0.35"/>
    <row r="283" s="29" customFormat="1" x14ac:dyDescent="0.35"/>
    <row r="284" s="29" customFormat="1" x14ac:dyDescent="0.35"/>
    <row r="285" s="29" customFormat="1" x14ac:dyDescent="0.35"/>
    <row r="286" s="29" customFormat="1" x14ac:dyDescent="0.35"/>
    <row r="287" s="29" customFormat="1" x14ac:dyDescent="0.35"/>
    <row r="288" s="29" customFormat="1" x14ac:dyDescent="0.35"/>
    <row r="289" s="29" customFormat="1" x14ac:dyDescent="0.35"/>
    <row r="290" s="29" customFormat="1" x14ac:dyDescent="0.35"/>
    <row r="291" s="29" customFormat="1" x14ac:dyDescent="0.35"/>
    <row r="292" s="29" customFormat="1" x14ac:dyDescent="0.35"/>
    <row r="293" s="29" customFormat="1" x14ac:dyDescent="0.35"/>
    <row r="294" s="29" customFormat="1" x14ac:dyDescent="0.35"/>
    <row r="295" s="29" customFormat="1" x14ac:dyDescent="0.35"/>
    <row r="296" s="29" customFormat="1" x14ac:dyDescent="0.35"/>
    <row r="297" s="29" customFormat="1" x14ac:dyDescent="0.35"/>
    <row r="298" s="29" customFormat="1" x14ac:dyDescent="0.35"/>
    <row r="299" s="29" customFormat="1" x14ac:dyDescent="0.35"/>
    <row r="300" s="29" customFormat="1" x14ac:dyDescent="0.35"/>
    <row r="301" s="29" customFormat="1" x14ac:dyDescent="0.35"/>
    <row r="302" s="29" customFormat="1" x14ac:dyDescent="0.35"/>
    <row r="303" s="29" customFormat="1" x14ac:dyDescent="0.35"/>
    <row r="304" s="29" customFormat="1" x14ac:dyDescent="0.35"/>
    <row r="305" s="29" customFormat="1" x14ac:dyDescent="0.35"/>
    <row r="306" s="29" customFormat="1" x14ac:dyDescent="0.35"/>
    <row r="307" s="29" customFormat="1" x14ac:dyDescent="0.35"/>
    <row r="308" s="29" customFormat="1" x14ac:dyDescent="0.35"/>
    <row r="309" s="29" customFormat="1" x14ac:dyDescent="0.35"/>
    <row r="310" s="29" customFormat="1" x14ac:dyDescent="0.35"/>
    <row r="311" s="29" customFormat="1" x14ac:dyDescent="0.35"/>
    <row r="312" s="29" customFormat="1" x14ac:dyDescent="0.35"/>
    <row r="313" s="29" customFormat="1" x14ac:dyDescent="0.35"/>
    <row r="314" s="29" customFormat="1" x14ac:dyDescent="0.35"/>
    <row r="315" s="29" customFormat="1" x14ac:dyDescent="0.35"/>
    <row r="316" s="29" customFormat="1" x14ac:dyDescent="0.35"/>
    <row r="317" s="29" customFormat="1" x14ac:dyDescent="0.35"/>
    <row r="318" s="29" customFormat="1" x14ac:dyDescent="0.35"/>
    <row r="319" s="29" customFormat="1" x14ac:dyDescent="0.35"/>
    <row r="320" s="29" customFormat="1" x14ac:dyDescent="0.35"/>
    <row r="321" s="29" customFormat="1" x14ac:dyDescent="0.35"/>
    <row r="322" s="29" customFormat="1" x14ac:dyDescent="0.35"/>
    <row r="323" s="29" customFormat="1" x14ac:dyDescent="0.35"/>
    <row r="324" s="29" customFormat="1" x14ac:dyDescent="0.35"/>
    <row r="325" s="29" customFormat="1" x14ac:dyDescent="0.35"/>
    <row r="326" s="29" customFormat="1" x14ac:dyDescent="0.35"/>
    <row r="327" s="29" customFormat="1" x14ac:dyDescent="0.35"/>
    <row r="328" s="29" customFormat="1" x14ac:dyDescent="0.35"/>
    <row r="329" s="29" customFormat="1" x14ac:dyDescent="0.35"/>
    <row r="330" s="29" customFormat="1" x14ac:dyDescent="0.35"/>
    <row r="331" s="29" customFormat="1" x14ac:dyDescent="0.35"/>
    <row r="332" s="29" customFormat="1" x14ac:dyDescent="0.35"/>
    <row r="333" s="29" customFormat="1" x14ac:dyDescent="0.35"/>
    <row r="334" s="29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116F-098C-46CE-9E3C-F80B5C415A33}">
  <dimension ref="A1:N14"/>
  <sheetViews>
    <sheetView workbookViewId="0">
      <selection activeCell="D8" sqref="D8"/>
    </sheetView>
  </sheetViews>
  <sheetFormatPr defaultRowHeight="14.5" x14ac:dyDescent="0.35"/>
  <cols>
    <col min="1" max="1" width="18.26953125" customWidth="1"/>
    <col min="2" max="2" width="18.36328125" customWidth="1"/>
    <col min="3" max="5" width="15.08984375" customWidth="1"/>
    <col min="6" max="6" width="20.453125" customWidth="1"/>
    <col min="7" max="7" width="17.08984375" customWidth="1"/>
  </cols>
  <sheetData>
    <row r="1" spans="1:14" x14ac:dyDescent="0.35">
      <c r="B1" s="23" t="s">
        <v>99</v>
      </c>
      <c r="C1" s="28" t="s">
        <v>101</v>
      </c>
      <c r="D1" s="28"/>
      <c r="E1" s="28" t="s">
        <v>112</v>
      </c>
      <c r="F1" s="28"/>
      <c r="G1" t="s">
        <v>115</v>
      </c>
      <c r="K1" s="23"/>
      <c r="M1">
        <v>1</v>
      </c>
      <c r="N1" t="s">
        <v>100</v>
      </c>
    </row>
    <row r="2" spans="1:14" x14ac:dyDescent="0.35">
      <c r="C2" t="s">
        <v>110</v>
      </c>
      <c r="D2" t="s">
        <v>111</v>
      </c>
      <c r="E2" t="s">
        <v>110</v>
      </c>
      <c r="F2" t="s">
        <v>111</v>
      </c>
    </row>
    <row r="3" spans="1:14" x14ac:dyDescent="0.35">
      <c r="A3" t="s">
        <v>94</v>
      </c>
    </row>
    <row r="4" spans="1:14" x14ac:dyDescent="0.35">
      <c r="A4" t="s">
        <v>94</v>
      </c>
    </row>
    <row r="5" spans="1:14" x14ac:dyDescent="0.35">
      <c r="A5" t="s">
        <v>94</v>
      </c>
    </row>
    <row r="6" spans="1:14" x14ac:dyDescent="0.35">
      <c r="A6" t="s">
        <v>95</v>
      </c>
    </row>
    <row r="7" spans="1:14" x14ac:dyDescent="0.35">
      <c r="A7" t="s">
        <v>95</v>
      </c>
    </row>
    <row r="8" spans="1:14" x14ac:dyDescent="0.35">
      <c r="A8" t="s">
        <v>95</v>
      </c>
    </row>
    <row r="9" spans="1:14" x14ac:dyDescent="0.35">
      <c r="A9" t="s">
        <v>96</v>
      </c>
    </row>
    <row r="10" spans="1:14" x14ac:dyDescent="0.35">
      <c r="A10" t="s">
        <v>96</v>
      </c>
      <c r="B10">
        <v>6.8</v>
      </c>
    </row>
    <row r="11" spans="1:14" x14ac:dyDescent="0.35">
      <c r="A11" t="s">
        <v>96</v>
      </c>
      <c r="B11">
        <v>5.2</v>
      </c>
    </row>
    <row r="12" spans="1:14" x14ac:dyDescent="0.35">
      <c r="A12" t="s">
        <v>97</v>
      </c>
      <c r="B12">
        <v>6.6</v>
      </c>
    </row>
    <row r="13" spans="1:14" x14ac:dyDescent="0.35">
      <c r="A13" t="s">
        <v>97</v>
      </c>
    </row>
    <row r="14" spans="1:14" x14ac:dyDescent="0.35">
      <c r="A14" t="s">
        <v>97</v>
      </c>
    </row>
  </sheetData>
  <mergeCells count="2">
    <mergeCell ref="C1:D1"/>
    <mergeCell ref="E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 3i</dc:creator>
  <cp:lastModifiedBy>Reviewer</cp:lastModifiedBy>
  <dcterms:created xsi:type="dcterms:W3CDTF">2026-08-12T15:08:57Z</dcterms:created>
  <dcterms:modified xsi:type="dcterms:W3CDTF">2026-09-03T07:21:33Z</dcterms:modified>
</cp:coreProperties>
</file>