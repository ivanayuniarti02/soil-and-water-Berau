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P Tambang Kaltim 2026\data perjalanan 1 (agustus 2026)\"/>
    </mc:Choice>
  </mc:AlternateContent>
  <xr:revisionPtr revIDLastSave="0" documentId="8_{E78BA01F-239D-4B3F-AADB-C55BE6122056}" xr6:coauthVersionLast="47" xr6:coauthVersionMax="47" xr10:uidLastSave="{00000000-0000-0000-0000-000000000000}"/>
  <bookViews>
    <workbookView xWindow="-110" yWindow="-110" windowWidth="19420" windowHeight="10300" xr2:uid="{4CFACE26-F257-4341-9D4E-86E48E8846E1}"/>
  </bookViews>
  <sheets>
    <sheet name="Sheet1" sheetId="1" r:id="rId1"/>
    <sheet name="Sheet3" sheetId="3" r:id="rId2"/>
    <sheet name="ML EC" sheetId="9" r:id="rId3"/>
    <sheet name="pH" sheetId="2" r:id="rId4"/>
    <sheet name="ML-pH" sheetId="6" r:id="rId5"/>
    <sheet name="Sheet7" sheetId="7" r:id="rId6"/>
    <sheet name="Sheet8" sheetId="8" r:id="rId7"/>
    <sheet name="EC" sheetId="5" r:id="rId8"/>
    <sheet name="pH 2" sheetId="4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9" l="1"/>
  <c r="B1" i="6"/>
  <c r="F37" i="7"/>
  <c r="O17" i="1"/>
  <c r="O16" i="1"/>
  <c r="O15" i="1"/>
  <c r="O14" i="1"/>
  <c r="N14" i="1"/>
  <c r="L21" i="1"/>
  <c r="L20" i="1"/>
  <c r="L19" i="1"/>
  <c r="L18" i="1"/>
  <c r="K18" i="1"/>
  <c r="N17" i="1"/>
  <c r="N16" i="1"/>
  <c r="K21" i="1"/>
  <c r="K20" i="1"/>
  <c r="K19" i="1"/>
  <c r="N15" i="1"/>
  <c r="H22" i="1"/>
  <c r="H21" i="1"/>
  <c r="K22" i="1"/>
  <c r="M11" i="1"/>
  <c r="G19" i="1"/>
  <c r="G18" i="1"/>
  <c r="P3" i="1"/>
  <c r="M17" i="1"/>
  <c r="J15" i="1"/>
  <c r="J14" i="1"/>
  <c r="J12" i="1"/>
  <c r="I15" i="1"/>
  <c r="I14" i="1"/>
  <c r="I12" i="1"/>
  <c r="H15" i="1"/>
  <c r="H14" i="1"/>
  <c r="H12" i="1"/>
  <c r="L6" i="1"/>
  <c r="L5" i="1"/>
  <c r="L4" i="1"/>
  <c r="I3" i="1"/>
  <c r="J3" i="1"/>
  <c r="Q3" i="1" s="1"/>
</calcChain>
</file>

<file path=xl/sharedStrings.xml><?xml version="1.0" encoding="utf-8"?>
<sst xmlns="http://schemas.openxmlformats.org/spreadsheetml/2006/main" count="639" uniqueCount="163">
  <si>
    <t>X</t>
  </si>
  <si>
    <t>Y</t>
  </si>
  <si>
    <t>pH tanah</t>
  </si>
  <si>
    <t>EC tanah</t>
  </si>
  <si>
    <t>NA</t>
  </si>
  <si>
    <t>sulit terdetect</t>
  </si>
  <si>
    <t>sulit</t>
  </si>
  <si>
    <t>0.-92</t>
  </si>
  <si>
    <t>keterangan lokasi</t>
  </si>
  <si>
    <t>tambang</t>
  </si>
  <si>
    <t>bukan tambang</t>
  </si>
  <si>
    <t>non tambang</t>
  </si>
  <si>
    <t>dekat tambang</t>
  </si>
  <si>
    <t>tambang aktif</t>
  </si>
  <si>
    <t>non-tambang</t>
  </si>
  <si>
    <t>Tambang</t>
  </si>
  <si>
    <t>Non-tambang</t>
  </si>
  <si>
    <t>Kisaran pH</t>
  </si>
  <si>
    <t>4.5-7</t>
  </si>
  <si>
    <t>Dekat tambang</t>
  </si>
  <si>
    <t>4.5-6.7</t>
  </si>
  <si>
    <t>pH rata-rata</t>
  </si>
  <si>
    <t>4.5-6.9</t>
  </si>
  <si>
    <t>Lokasi</t>
  </si>
  <si>
    <t>EC rata-rata</t>
  </si>
  <si>
    <t>KisaranEC</t>
  </si>
  <si>
    <t>0.042-5.81</t>
  </si>
  <si>
    <t>0.094-0.211</t>
  </si>
  <si>
    <t>0.006-0.0572</t>
  </si>
  <si>
    <t>pH</t>
  </si>
  <si>
    <t>Location</t>
  </si>
  <si>
    <t>Mining</t>
  </si>
  <si>
    <t>Non-mining</t>
  </si>
  <si>
    <t>Site status</t>
  </si>
  <si>
    <t>Number of sites</t>
  </si>
  <si>
    <t>pH range</t>
  </si>
  <si>
    <t>Soil</t>
  </si>
  <si>
    <t>Water</t>
  </si>
  <si>
    <t>Average pH</t>
  </si>
  <si>
    <t>5.11+/-0.81</t>
  </si>
  <si>
    <t>6.2+/-1.01</t>
  </si>
  <si>
    <t>EC 1:1 range</t>
  </si>
  <si>
    <t>Average EC 1:1</t>
  </si>
  <si>
    <t>1..4+-0.98</t>
  </si>
  <si>
    <t>0-0.6</t>
  </si>
  <si>
    <t>0.18+-0.17</t>
  </si>
  <si>
    <t>Turbidity range</t>
  </si>
  <si>
    <t>Average turbidity</t>
  </si>
  <si>
    <t>TSS tange</t>
  </si>
  <si>
    <t>Average TSS</t>
  </si>
  <si>
    <t>soil pH</t>
  </si>
  <si>
    <t>Mining_status</t>
  </si>
  <si>
    <t>Replicate</t>
  </si>
  <si>
    <t>Soil_pH</t>
  </si>
  <si>
    <t>ID Sampel</t>
  </si>
  <si>
    <t>Kode Sampel</t>
  </si>
  <si>
    <t>Tipe sampel</t>
  </si>
  <si>
    <t>Jarak dengan tambang (m)</t>
  </si>
  <si>
    <t>SA2</t>
  </si>
  <si>
    <t>SA4</t>
  </si>
  <si>
    <t>air &amp; tanah</t>
  </si>
  <si>
    <t>SA Hulu Segah</t>
  </si>
  <si>
    <t>Setling pond Berau Coal</t>
  </si>
  <si>
    <t>SA20</t>
  </si>
  <si>
    <t>air &amp;tanah</t>
  </si>
  <si>
    <t>Kolong Sambalata</t>
  </si>
  <si>
    <t>SA18</t>
  </si>
  <si>
    <t>Parit kecil di jalan padat karya</t>
  </si>
  <si>
    <t>SA23</t>
  </si>
  <si>
    <t>air</t>
  </si>
  <si>
    <t>Tambang ilegal non aktif padat karya</t>
  </si>
  <si>
    <t>SA21</t>
  </si>
  <si>
    <t>kolong birang</t>
  </si>
  <si>
    <t>SA28</t>
  </si>
  <si>
    <t>ST12</t>
  </si>
  <si>
    <t>ST8</t>
  </si>
  <si>
    <t>tanah</t>
  </si>
  <si>
    <t>ST6</t>
  </si>
  <si>
    <t>ST4</t>
  </si>
  <si>
    <t>ST11</t>
  </si>
  <si>
    <t>ST13</t>
  </si>
  <si>
    <t>ST10</t>
  </si>
  <si>
    <t>ST20</t>
  </si>
  <si>
    <t>ST17</t>
  </si>
  <si>
    <t>ST31</t>
  </si>
  <si>
    <t>ST18</t>
  </si>
  <si>
    <t>ST30</t>
  </si>
  <si>
    <t>ST15</t>
  </si>
  <si>
    <t>ST29</t>
  </si>
  <si>
    <t>ST9</t>
  </si>
  <si>
    <t>ST22</t>
  </si>
  <si>
    <t>cek lagi</t>
  </si>
  <si>
    <t>ST16</t>
  </si>
  <si>
    <t>ST32</t>
  </si>
  <si>
    <t>ST19 (ref site)</t>
  </si>
  <si>
    <t>ST33</t>
  </si>
  <si>
    <t>Titik tanah 1 (teluk bayur)</t>
  </si>
  <si>
    <t>Titik tanah 2 (teluk bayur)</t>
  </si>
  <si>
    <t>Titik tanah 3 (agak jauh dari tambak non aktif)</t>
  </si>
  <si>
    <t>Titik tanah 4 (wilayah tambang aktif)</t>
  </si>
  <si>
    <t>ST14</t>
  </si>
  <si>
    <t>Gang simpati</t>
  </si>
  <si>
    <t>ST19</t>
  </si>
  <si>
    <t>2 km sebelum tasuk</t>
  </si>
  <si>
    <t>tanah &amp; air</t>
  </si>
  <si>
    <t>1 km dari balai desa tasuk</t>
  </si>
  <si>
    <t>Ibu Dinda Katholik Tasuk</t>
  </si>
  <si>
    <t>Titik tanah (reference site Birang)</t>
  </si>
  <si>
    <t>ST27</t>
  </si>
  <si>
    <t>Kebun pak arifin</t>
  </si>
  <si>
    <t>ST24</t>
  </si>
  <si>
    <t>Cek lagi</t>
  </si>
  <si>
    <t xml:space="preserve">Sebelum tambang ilegal </t>
  </si>
  <si>
    <t>ST 25</t>
  </si>
  <si>
    <t>Rumah Pak Agus</t>
  </si>
  <si>
    <t>ST 26</t>
  </si>
  <si>
    <t>6 km sebelum tasuk</t>
  </si>
  <si>
    <t>ST 27</t>
  </si>
  <si>
    <t>Tanah tambang Pak Agus</t>
  </si>
  <si>
    <t>ST 28</t>
  </si>
  <si>
    <t>Kakao Berau Coal</t>
  </si>
  <si>
    <t>ST 29</t>
  </si>
  <si>
    <t>Parit Sambarata</t>
  </si>
  <si>
    <t>ST 30</t>
  </si>
  <si>
    <t>cek lagi aitq</t>
  </si>
  <si>
    <t>cek lagi atiq</t>
  </si>
  <si>
    <t>Tumbit Dayak</t>
  </si>
  <si>
    <t>ST 31</t>
  </si>
  <si>
    <t>BMKG</t>
  </si>
  <si>
    <t>ST 32</t>
  </si>
  <si>
    <t>ST BJU</t>
  </si>
  <si>
    <t>ST 33</t>
  </si>
  <si>
    <t>Tanah</t>
  </si>
  <si>
    <t>Jembatan kelai</t>
  </si>
  <si>
    <t>ST 34</t>
  </si>
  <si>
    <t>ST 20</t>
  </si>
  <si>
    <t>ST 35</t>
  </si>
  <si>
    <t xml:space="preserve">Response variable </t>
  </si>
  <si>
    <t xml:space="preserve">Soil </t>
  </si>
  <si>
    <t>Sample type</t>
  </si>
  <si>
    <t>Mixed-effects model</t>
  </si>
  <si>
    <t>Mining-non mining status + location</t>
  </si>
  <si>
    <t>Replication</t>
  </si>
  <si>
    <t>Random effects parameter</t>
  </si>
  <si>
    <t>df</t>
  </si>
  <si>
    <t>AIC</t>
  </si>
  <si>
    <t>LL</t>
  </si>
  <si>
    <t>LRT1</t>
  </si>
  <si>
    <t>LRT2</t>
  </si>
  <si>
    <t xml:space="preserve">Mining-non mining status </t>
  </si>
  <si>
    <t>Null model</t>
  </si>
  <si>
    <t>-</t>
  </si>
  <si>
    <t>p=0.0001</t>
  </si>
  <si>
    <t>p=1.0000</t>
  </si>
  <si>
    <t>p=1.000</t>
  </si>
  <si>
    <t>EC1:1</t>
  </si>
  <si>
    <t>Soil EC</t>
  </si>
  <si>
    <t>Mining status</t>
  </si>
  <si>
    <t>p=0.0012</t>
  </si>
  <si>
    <t>Turbidity</t>
  </si>
  <si>
    <t>TSS</t>
  </si>
  <si>
    <t>LRT3</t>
  </si>
  <si>
    <t>LRT4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</si>
</sst>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1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1" fontId="0" fillId="2" borderId="1" xfId="0" applyNumberFormat="1" applyFill="1" applyBorder="1"/>
    <xf numFmtId="1" fontId="0" fillId="3" borderId="1" xfId="0" applyNumberFormat="1" applyFill="1" applyBorder="1"/>
    <xf numFmtId="1" fontId="0" fillId="0" borderId="0" xfId="0" applyNumberFormat="1"/>
    <xf numFmtId="0" fontId="0" fillId="0" borderId="1" xfId="0" applyBorder="1" applyAlignment="1">
      <alignment horizontal="right" wrapText="1"/>
    </xf>
    <xf numFmtId="0" fontId="0" fillId="0" borderId="2" xfId="0" applyBorder="1"/>
    <xf numFmtId="164" fontId="0" fillId="0" borderId="2" xfId="0" applyNumberFormat="1" applyBorder="1"/>
    <xf numFmtId="0" fontId="0" fillId="3" borderId="4" xfId="0" applyFill="1" applyBorder="1"/>
    <xf numFmtId="164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2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0" fillId="3" borderId="0" xfId="0" applyFill="1"/>
    <xf numFmtId="0" fontId="2" fillId="0" borderId="2" xfId="0" applyFont="1" applyBorder="1" applyAlignment="1">
      <alignment horizontal="right" wrapText="1"/>
    </xf>
    <xf numFmtId="0" fontId="0" fillId="3" borderId="5" xfId="0" applyFill="1" applyBorder="1"/>
    <xf numFmtId="0" fontId="0" fillId="0" borderId="5" xfId="0" applyBorder="1"/>
    <xf numFmtId="1" fontId="0" fillId="0" borderId="6" xfId="0" applyNumberFormat="1" applyBorder="1"/>
    <xf numFmtId="0" fontId="2" fillId="0" borderId="1" xfId="0" applyFont="1" applyBorder="1" applyAlignment="1">
      <alignment horizontal="right" wrapText="1"/>
    </xf>
    <xf numFmtId="0" fontId="0" fillId="0" borderId="7" xfId="0" applyBorder="1"/>
    <xf numFmtId="0" fontId="0" fillId="3" borderId="8" xfId="0" applyFill="1" applyBorder="1"/>
    <xf numFmtId="0" fontId="2" fillId="3" borderId="2" xfId="0" applyFont="1" applyFill="1" applyBorder="1" applyAlignment="1">
      <alignment horizontal="right" wrapText="1"/>
    </xf>
    <xf numFmtId="0" fontId="0" fillId="3" borderId="0" xfId="0" applyFill="1" applyAlignment="1">
      <alignment horizontal="right" vertical="center" wrapText="1"/>
    </xf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BE98FC-35E5-47A1-A33E-FD0087507D1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C0AD-93D2-4BB1-B6FF-294FB91DD38E}">
  <dimension ref="A1:R39"/>
  <sheetViews>
    <sheetView tabSelected="1" topLeftCell="A17" workbookViewId="0">
      <selection activeCell="G31" sqref="G31"/>
    </sheetView>
  </sheetViews>
  <sheetFormatPr defaultRowHeight="14.5" x14ac:dyDescent="0.35"/>
  <cols>
    <col min="5" max="5" width="15.6328125" style="11" bestFit="1" customWidth="1"/>
    <col min="14" max="14" width="14.36328125" bestFit="1" customWidth="1"/>
    <col min="15" max="15" width="10.1796875" bestFit="1" customWidth="1"/>
    <col min="16" max="16" width="5.7265625" bestFit="1" customWidth="1"/>
    <col min="17" max="17" width="9.54296875" bestFit="1" customWidth="1"/>
    <col min="18" max="18" width="5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8</v>
      </c>
      <c r="G1" s="3" t="s">
        <v>23</v>
      </c>
      <c r="H1" s="1" t="s">
        <v>15</v>
      </c>
      <c r="I1" s="1" t="s">
        <v>19</v>
      </c>
      <c r="J1" s="1" t="s">
        <v>16</v>
      </c>
      <c r="N1" s="3" t="s">
        <v>23</v>
      </c>
      <c r="O1" s="3"/>
      <c r="P1" s="1" t="s">
        <v>15</v>
      </c>
      <c r="Q1" s="1" t="s">
        <v>16</v>
      </c>
    </row>
    <row r="2" spans="1:17" x14ac:dyDescent="0.35">
      <c r="A2" s="2">
        <v>511844</v>
      </c>
      <c r="B2" s="2">
        <v>241970</v>
      </c>
      <c r="C2" s="5">
        <v>6.6</v>
      </c>
      <c r="D2">
        <v>0.12</v>
      </c>
      <c r="E2" s="2" t="s">
        <v>10</v>
      </c>
      <c r="G2" s="1" t="s">
        <v>17</v>
      </c>
      <c r="H2" s="3" t="s">
        <v>22</v>
      </c>
      <c r="I2" s="3" t="s">
        <v>20</v>
      </c>
      <c r="J2" s="3" t="s">
        <v>18</v>
      </c>
      <c r="L2" s="16"/>
      <c r="N2" s="1" t="s">
        <v>17</v>
      </c>
      <c r="O2" s="1"/>
      <c r="P2" s="3" t="s">
        <v>22</v>
      </c>
      <c r="Q2" s="3" t="s">
        <v>18</v>
      </c>
    </row>
    <row r="3" spans="1:17" x14ac:dyDescent="0.35">
      <c r="A3" s="2">
        <v>528492</v>
      </c>
      <c r="B3" s="2">
        <v>221272</v>
      </c>
      <c r="C3" s="2">
        <v>6.5</v>
      </c>
      <c r="D3">
        <v>0.14799999999999999</v>
      </c>
      <c r="E3" s="2" t="s">
        <v>10</v>
      </c>
      <c r="G3" s="3" t="s">
        <v>21</v>
      </c>
      <c r="H3" s="3">
        <v>5</v>
      </c>
      <c r="I3" s="3">
        <f>AVERAGE(C12,C13,C14,C15,C16)</f>
        <v>5.76</v>
      </c>
      <c r="J3" s="5">
        <f>AVERAGE(C2:C11,C17,C18,C19,C20)</f>
        <v>6</v>
      </c>
      <c r="L3" s="16"/>
      <c r="N3" s="3" t="s">
        <v>21</v>
      </c>
      <c r="O3" s="3"/>
      <c r="P3" s="3">
        <f>AVERAGE(C17:C39)</f>
        <v>5.1347826086956516</v>
      </c>
      <c r="Q3" s="5">
        <f>AVERAGE(J2:J11,J17,J18,J19,J20)</f>
        <v>6</v>
      </c>
    </row>
    <row r="4" spans="1:17" x14ac:dyDescent="0.35">
      <c r="A4" s="2">
        <v>574245</v>
      </c>
      <c r="B4" s="2">
        <v>237001</v>
      </c>
      <c r="C4" s="2">
        <v>7</v>
      </c>
      <c r="D4" s="6">
        <v>6.0000000000000001E-3</v>
      </c>
      <c r="E4" s="2" t="s">
        <v>10</v>
      </c>
      <c r="L4">
        <f>MAX(C21:C39)</f>
        <v>6.9</v>
      </c>
    </row>
    <row r="5" spans="1:17" x14ac:dyDescent="0.35">
      <c r="A5" s="2">
        <v>557336</v>
      </c>
      <c r="B5" s="2">
        <v>232118</v>
      </c>
      <c r="C5" s="3">
        <v>6.9</v>
      </c>
      <c r="D5">
        <v>1.7999999999999999E-2</v>
      </c>
      <c r="E5" s="10" t="s">
        <v>10</v>
      </c>
      <c r="L5" s="16">
        <f>MIN(C21:C39)</f>
        <v>4.5</v>
      </c>
      <c r="N5" s="3" t="s">
        <v>23</v>
      </c>
      <c r="O5" s="3"/>
      <c r="P5" s="1" t="s">
        <v>15</v>
      </c>
      <c r="Q5" s="1" t="s">
        <v>16</v>
      </c>
    </row>
    <row r="6" spans="1:17" x14ac:dyDescent="0.35">
      <c r="A6" s="2">
        <v>571763</v>
      </c>
      <c r="B6" s="2">
        <v>244308</v>
      </c>
      <c r="C6" s="2">
        <v>4.5</v>
      </c>
      <c r="D6" s="7">
        <v>0.57199999999999995</v>
      </c>
      <c r="E6" s="2" t="s">
        <v>10</v>
      </c>
      <c r="L6" s="16">
        <f>AVERAGE(C21:C39)</f>
        <v>5.0473684210526315</v>
      </c>
      <c r="N6" s="1" t="s">
        <v>25</v>
      </c>
      <c r="O6" s="1"/>
      <c r="P6" s="3" t="s">
        <v>26</v>
      </c>
      <c r="Q6" s="3" t="s">
        <v>28</v>
      </c>
    </row>
    <row r="7" spans="1:17" x14ac:dyDescent="0.35">
      <c r="A7" s="2">
        <v>606056</v>
      </c>
      <c r="B7" s="2">
        <v>246538</v>
      </c>
      <c r="C7" s="5">
        <v>5.2</v>
      </c>
      <c r="D7" s="7">
        <v>0.11</v>
      </c>
      <c r="E7" s="2" t="s">
        <v>10</v>
      </c>
      <c r="N7" s="3" t="s">
        <v>24</v>
      </c>
      <c r="O7" s="3"/>
      <c r="P7" s="3">
        <v>1.2130666666666665</v>
      </c>
      <c r="Q7" s="5">
        <v>0.18454545454545457</v>
      </c>
    </row>
    <row r="8" spans="1:17" x14ac:dyDescent="0.35">
      <c r="A8" s="3">
        <v>547055.45320000174</v>
      </c>
      <c r="B8" s="3">
        <v>238639.83793539999</v>
      </c>
      <c r="C8" s="12">
        <v>6.9</v>
      </c>
      <c r="D8" s="7" t="s">
        <v>4</v>
      </c>
      <c r="E8" s="2" t="s">
        <v>10</v>
      </c>
    </row>
    <row r="9" spans="1:17" x14ac:dyDescent="0.35">
      <c r="A9" s="3">
        <v>547071.0125217376</v>
      </c>
      <c r="B9" s="3">
        <v>238670.79196959999</v>
      </c>
      <c r="C9" s="12">
        <v>6.9</v>
      </c>
      <c r="D9" s="7" t="s">
        <v>4</v>
      </c>
      <c r="E9" s="2" t="s">
        <v>10</v>
      </c>
    </row>
    <row r="10" spans="1:17" x14ac:dyDescent="0.35">
      <c r="A10" s="3">
        <v>553710.03538946749</v>
      </c>
      <c r="B10" s="3">
        <v>244396.30447890001</v>
      </c>
      <c r="C10" s="3">
        <v>6.8</v>
      </c>
      <c r="D10" s="7">
        <v>0.06</v>
      </c>
      <c r="E10" s="10" t="s">
        <v>10</v>
      </c>
      <c r="G10" s="3" t="s">
        <v>23</v>
      </c>
      <c r="H10" s="1" t="s">
        <v>15</v>
      </c>
      <c r="I10" s="1" t="s">
        <v>19</v>
      </c>
      <c r="J10" s="1" t="s">
        <v>16</v>
      </c>
    </row>
    <row r="11" spans="1:17" x14ac:dyDescent="0.35">
      <c r="A11" s="3">
        <v>509061.94914922101</v>
      </c>
      <c r="B11" s="3">
        <v>187792.9489931</v>
      </c>
      <c r="C11" s="3">
        <v>4.5</v>
      </c>
      <c r="D11" s="15" t="s">
        <v>7</v>
      </c>
      <c r="E11" s="4" t="s">
        <v>10</v>
      </c>
      <c r="G11" s="1" t="s">
        <v>25</v>
      </c>
      <c r="H11" s="3" t="s">
        <v>26</v>
      </c>
      <c r="I11" s="3" t="s">
        <v>27</v>
      </c>
      <c r="J11" s="3" t="s">
        <v>28</v>
      </c>
      <c r="M11" s="16">
        <f>MAX(C2:C11)</f>
        <v>7</v>
      </c>
    </row>
    <row r="12" spans="1:17" x14ac:dyDescent="0.35">
      <c r="A12" s="3">
        <v>550725.51218601409</v>
      </c>
      <c r="B12" s="3">
        <v>240785.28106549999</v>
      </c>
      <c r="C12" s="3">
        <v>6.7</v>
      </c>
      <c r="D12" s="7">
        <v>0.19600000000000001</v>
      </c>
      <c r="E12" s="2" t="s">
        <v>10</v>
      </c>
      <c r="G12" s="3" t="s">
        <v>24</v>
      </c>
      <c r="H12" s="3">
        <f>AVERAGE(D21:D31,D34,D35,D37,D38)</f>
        <v>1.2130666666666665</v>
      </c>
      <c r="I12" s="3">
        <f>AVERAGE(D12,D13,D14,D16)</f>
        <v>0.20074999999999998</v>
      </c>
      <c r="J12" s="5">
        <f>AVERAGE(D2:D7,D10,D17,D18,D19,D20)</f>
        <v>0.13620000000000004</v>
      </c>
    </row>
    <row r="13" spans="1:17" x14ac:dyDescent="0.35">
      <c r="A13" s="3">
        <v>551804.19079919881</v>
      </c>
      <c r="B13" s="3">
        <v>240619.80800009999</v>
      </c>
      <c r="C13" s="5">
        <v>7</v>
      </c>
      <c r="D13" s="7">
        <v>0.318</v>
      </c>
      <c r="E13" s="2" t="s">
        <v>10</v>
      </c>
    </row>
    <row r="14" spans="1:17" x14ac:dyDescent="0.35">
      <c r="A14" s="3">
        <v>550725.51218601409</v>
      </c>
      <c r="B14" s="3">
        <v>240785.28106549999</v>
      </c>
      <c r="C14" s="3">
        <v>6.1</v>
      </c>
      <c r="D14" s="7">
        <v>7.8E-2</v>
      </c>
      <c r="E14" s="2" t="s">
        <v>10</v>
      </c>
      <c r="H14">
        <f>MAX(D21:D31,D34,D35,D37,D38)</f>
        <v>5.81</v>
      </c>
      <c r="I14">
        <f>MAX(D12,D13,D14,D16)</f>
        <v>0.318</v>
      </c>
      <c r="J14">
        <f>MAX(D2:D7,D10,D17,D18,D19,D20)</f>
        <v>0.57199999999999995</v>
      </c>
      <c r="N14" s="16">
        <f>MAX(C2:C15)</f>
        <v>7</v>
      </c>
      <c r="O14" s="16">
        <f>MAX(D2:D15)</f>
        <v>0.57199999999999995</v>
      </c>
    </row>
    <row r="15" spans="1:17" x14ac:dyDescent="0.35">
      <c r="A15" s="3">
        <v>548224.62518558418</v>
      </c>
      <c r="B15" s="3">
        <v>237007.5683287</v>
      </c>
      <c r="C15" s="3">
        <v>4.5</v>
      </c>
      <c r="D15" s="7">
        <v>0.40400000000000003</v>
      </c>
      <c r="E15" s="2" t="s">
        <v>10</v>
      </c>
      <c r="H15">
        <f>MIN(D21:D31,D34,D35,D37,D38)</f>
        <v>4.2000000000000003E-2</v>
      </c>
      <c r="I15">
        <f>MIN(D12,D13,D14,D16)</f>
        <v>7.8E-2</v>
      </c>
      <c r="J15">
        <f>MIN((D2:D7,D10,D17,D18,D19,D20))</f>
        <v>6.0000000000000001E-3</v>
      </c>
      <c r="N15" s="16">
        <f>MIN(C2:C15)</f>
        <v>4.5</v>
      </c>
      <c r="O15" s="16">
        <f>MIN(D2:D15)</f>
        <v>6.0000000000000001E-3</v>
      </c>
    </row>
    <row r="16" spans="1:17" x14ac:dyDescent="0.35">
      <c r="A16" s="3">
        <v>549962.38494740776</v>
      </c>
      <c r="B16" s="3">
        <v>238062.5734999</v>
      </c>
      <c r="C16" s="3">
        <v>4.5</v>
      </c>
      <c r="D16" s="7">
        <v>0.21099999999999999</v>
      </c>
      <c r="E16" s="2" t="s">
        <v>9</v>
      </c>
      <c r="N16" s="16">
        <f>AVERAGE(C2:C15)</f>
        <v>6.1499999999999995</v>
      </c>
      <c r="O16">
        <f>AVERAGE(D2:D15)</f>
        <v>0.18454545454545457</v>
      </c>
    </row>
    <row r="17" spans="1:18" x14ac:dyDescent="0.35">
      <c r="A17" s="3">
        <v>551546.12241139298</v>
      </c>
      <c r="B17" s="3">
        <v>240902.69883509999</v>
      </c>
      <c r="C17" s="3">
        <v>4.9000000000000004</v>
      </c>
      <c r="D17" s="7">
        <v>0.104</v>
      </c>
      <c r="E17" s="2" t="s">
        <v>9</v>
      </c>
      <c r="M17">
        <f>0.15/5</f>
        <v>0.03</v>
      </c>
      <c r="N17">
        <f>STDEV(C2:C15)</f>
        <v>1.0097600628938463</v>
      </c>
      <c r="O17">
        <f>STDEV(D2:D15)</f>
        <v>0.1771329238940991</v>
      </c>
    </row>
    <row r="18" spans="1:18" ht="15" thickBot="1" x14ac:dyDescent="0.4">
      <c r="A18" s="3">
        <v>535564.508724335</v>
      </c>
      <c r="B18" s="3">
        <v>220432.20689249999</v>
      </c>
      <c r="C18" s="3">
        <v>4.5</v>
      </c>
      <c r="D18" s="7">
        <v>0.13</v>
      </c>
      <c r="E18" s="10" t="s">
        <v>9</v>
      </c>
      <c r="G18">
        <f>COUNT(C2:C11)</f>
        <v>10</v>
      </c>
      <c r="K18">
        <f>MAX(C16:C39)</f>
        <v>6.9</v>
      </c>
      <c r="L18">
        <f>MAX(D16:D39)</f>
        <v>5.81</v>
      </c>
    </row>
    <row r="19" spans="1:18" ht="15" thickBot="1" x14ac:dyDescent="0.4">
      <c r="A19" s="3">
        <v>543306.80062357336</v>
      </c>
      <c r="B19" s="3">
        <v>239121.87087879999</v>
      </c>
      <c r="C19" s="13">
        <v>6.7</v>
      </c>
      <c r="D19" t="s">
        <v>6</v>
      </c>
      <c r="E19" s="10" t="s">
        <v>9</v>
      </c>
      <c r="G19">
        <f>COUNT(C12:C39)</f>
        <v>28</v>
      </c>
      <c r="K19">
        <f>MIN(C16:C39)</f>
        <v>4.5</v>
      </c>
      <c r="L19">
        <f>MIN(D16:D39)</f>
        <v>4.2000000000000003E-2</v>
      </c>
    </row>
    <row r="20" spans="1:18" ht="15" thickBot="1" x14ac:dyDescent="0.4">
      <c r="A20" s="3">
        <v>588703</v>
      </c>
      <c r="B20" s="3">
        <v>244668</v>
      </c>
      <c r="C20" s="13">
        <v>6.1</v>
      </c>
      <c r="D20">
        <v>9.4E-2</v>
      </c>
      <c r="E20" s="4" t="s">
        <v>9</v>
      </c>
      <c r="K20" s="17">
        <f>AVERAGE(C16:C39)</f>
        <v>5.1083333333333334</v>
      </c>
      <c r="L20">
        <f>AVERAGE(D16:D39)</f>
        <v>0.98605263157894729</v>
      </c>
      <c r="N20" s="41" t="s">
        <v>33</v>
      </c>
      <c r="O20" s="41" t="s">
        <v>31</v>
      </c>
      <c r="P20" s="41"/>
      <c r="Q20" s="41" t="s">
        <v>32</v>
      </c>
      <c r="R20" s="41"/>
    </row>
    <row r="21" spans="1:18" ht="15" thickBot="1" x14ac:dyDescent="0.4">
      <c r="A21" s="2">
        <v>526669</v>
      </c>
      <c r="B21" s="2">
        <v>200169</v>
      </c>
      <c r="C21" s="14">
        <v>5.5</v>
      </c>
      <c r="D21">
        <v>0.09</v>
      </c>
      <c r="E21" s="2" t="s">
        <v>9</v>
      </c>
      <c r="H21">
        <f>COUNT(C2:C15)</f>
        <v>14</v>
      </c>
      <c r="K21" s="17">
        <f>STDEV(C16:C39)</f>
        <v>0.81396328657013661</v>
      </c>
      <c r="L21">
        <f>STDEV(D16:D39)</f>
        <v>1.4431630566873359</v>
      </c>
      <c r="N21" s="41"/>
      <c r="O21" s="19" t="s">
        <v>36</v>
      </c>
      <c r="P21" s="19" t="s">
        <v>37</v>
      </c>
      <c r="Q21" s="19" t="s">
        <v>36</v>
      </c>
      <c r="R21" s="19" t="s">
        <v>37</v>
      </c>
    </row>
    <row r="22" spans="1:18" ht="15" thickBot="1" x14ac:dyDescent="0.4">
      <c r="A22" s="3">
        <v>547779.40756862308</v>
      </c>
      <c r="B22" s="3">
        <v>242387.1697849</v>
      </c>
      <c r="C22" s="13">
        <v>5.2</v>
      </c>
      <c r="D22">
        <v>1.014</v>
      </c>
      <c r="E22" s="2" t="s">
        <v>9</v>
      </c>
      <c r="H22">
        <f>COUNT(C16:C39)</f>
        <v>24</v>
      </c>
      <c r="K22">
        <f>COUNT(C21:C39,C16,C15,C14,C13,C12)</f>
        <v>24</v>
      </c>
      <c r="N22" s="20" t="s">
        <v>34</v>
      </c>
      <c r="O22" s="20">
        <v>24</v>
      </c>
      <c r="P22" s="20"/>
      <c r="Q22" s="20">
        <v>14</v>
      </c>
      <c r="R22" s="19"/>
    </row>
    <row r="23" spans="1:18" x14ac:dyDescent="0.35">
      <c r="A23" s="4">
        <v>544307.13542585622</v>
      </c>
      <c r="B23" s="4">
        <v>240847.57140660001</v>
      </c>
      <c r="C23" s="4">
        <v>4.5</v>
      </c>
      <c r="D23" s="8">
        <v>1.714</v>
      </c>
      <c r="E23" s="10" t="s">
        <v>9</v>
      </c>
      <c r="N23" s="20" t="s">
        <v>35</v>
      </c>
      <c r="O23" s="20" t="s">
        <v>22</v>
      </c>
      <c r="P23" s="20"/>
      <c r="Q23" s="20" t="s">
        <v>18</v>
      </c>
      <c r="R23" s="19"/>
    </row>
    <row r="24" spans="1:18" x14ac:dyDescent="0.35">
      <c r="A24" s="3">
        <v>549962.38494740776</v>
      </c>
      <c r="B24" s="3">
        <v>238062.5734999</v>
      </c>
      <c r="C24" s="3">
        <v>4.5</v>
      </c>
      <c r="D24" s="6">
        <v>1.5980000000000001</v>
      </c>
      <c r="E24" s="2" t="s">
        <v>9</v>
      </c>
      <c r="N24" s="20" t="s">
        <v>38</v>
      </c>
      <c r="O24" s="20" t="s">
        <v>39</v>
      </c>
      <c r="P24" s="20"/>
      <c r="Q24" s="20" t="s">
        <v>40</v>
      </c>
      <c r="R24" s="19"/>
    </row>
    <row r="25" spans="1:18" x14ac:dyDescent="0.35">
      <c r="A25" s="3">
        <v>549349.77819263749</v>
      </c>
      <c r="B25" s="3">
        <v>237695.41803189999</v>
      </c>
      <c r="C25" s="3">
        <v>4.5</v>
      </c>
      <c r="D25">
        <v>0.83199999999999996</v>
      </c>
      <c r="E25" s="2" t="s">
        <v>9</v>
      </c>
      <c r="N25" s="20" t="s">
        <v>41</v>
      </c>
      <c r="O25" s="20" t="s">
        <v>26</v>
      </c>
      <c r="P25" s="20"/>
      <c r="Q25" s="20" t="s">
        <v>44</v>
      </c>
      <c r="R25" s="19"/>
    </row>
    <row r="26" spans="1:18" x14ac:dyDescent="0.35">
      <c r="A26" s="3">
        <v>550440.89963251201</v>
      </c>
      <c r="B26" s="3">
        <v>244269.26341670001</v>
      </c>
      <c r="C26" s="3">
        <v>4.5</v>
      </c>
      <c r="D26" s="6">
        <v>1.28</v>
      </c>
      <c r="E26" s="2" t="s">
        <v>9</v>
      </c>
      <c r="N26" s="20" t="s">
        <v>42</v>
      </c>
      <c r="O26" s="20" t="s">
        <v>43</v>
      </c>
      <c r="P26" s="20"/>
      <c r="Q26" s="20" t="s">
        <v>45</v>
      </c>
      <c r="R26" s="19"/>
    </row>
    <row r="27" spans="1:18" x14ac:dyDescent="0.35">
      <c r="A27" s="2">
        <v>549200</v>
      </c>
      <c r="B27" s="2">
        <v>235713</v>
      </c>
      <c r="C27" s="2">
        <v>4.5</v>
      </c>
      <c r="D27" s="6">
        <v>3.32</v>
      </c>
      <c r="E27" s="2" t="s">
        <v>9</v>
      </c>
      <c r="N27" s="20" t="s">
        <v>46</v>
      </c>
      <c r="O27" s="20"/>
      <c r="P27" s="20"/>
      <c r="Q27" s="20"/>
      <c r="R27" s="3"/>
    </row>
    <row r="28" spans="1:18" x14ac:dyDescent="0.35">
      <c r="A28" s="2">
        <v>543324</v>
      </c>
      <c r="B28" s="2">
        <v>239136</v>
      </c>
      <c r="C28" s="5">
        <v>4.5</v>
      </c>
      <c r="D28" s="7">
        <v>9.1999999999999998E-2</v>
      </c>
      <c r="E28" s="2" t="s">
        <v>9</v>
      </c>
      <c r="N28" s="20" t="s">
        <v>47</v>
      </c>
      <c r="O28" s="20"/>
      <c r="P28" s="20"/>
      <c r="Q28" s="20"/>
      <c r="R28" s="3"/>
    </row>
    <row r="29" spans="1:18" x14ac:dyDescent="0.35">
      <c r="A29" s="2">
        <v>549495</v>
      </c>
      <c r="B29" s="2">
        <v>237335</v>
      </c>
      <c r="C29" s="5">
        <v>4.5999999999999996</v>
      </c>
      <c r="D29" s="7">
        <v>0.51400000000000001</v>
      </c>
      <c r="E29" s="2" t="s">
        <v>9</v>
      </c>
      <c r="N29" s="20" t="s">
        <v>48</v>
      </c>
      <c r="O29" s="20"/>
      <c r="P29" s="20"/>
      <c r="Q29" s="20"/>
      <c r="R29" s="3"/>
    </row>
    <row r="30" spans="1:18" x14ac:dyDescent="0.35">
      <c r="A30" s="2">
        <v>570494</v>
      </c>
      <c r="B30" s="2">
        <v>233080</v>
      </c>
      <c r="C30" s="2">
        <v>5.2</v>
      </c>
      <c r="D30" s="7">
        <v>5.81</v>
      </c>
      <c r="E30" s="2" t="s">
        <v>9</v>
      </c>
      <c r="N30" s="20" t="s">
        <v>49</v>
      </c>
      <c r="O30" s="20"/>
      <c r="P30" s="20"/>
      <c r="Q30" s="20"/>
      <c r="R30" s="3"/>
    </row>
    <row r="31" spans="1:18" x14ac:dyDescent="0.35">
      <c r="A31" s="2">
        <v>565841</v>
      </c>
      <c r="B31" s="2">
        <v>231517</v>
      </c>
      <c r="C31" s="5">
        <v>6.5</v>
      </c>
      <c r="D31" s="7">
        <v>0.14199999999999999</v>
      </c>
      <c r="E31" s="2" t="s">
        <v>9</v>
      </c>
    </row>
    <row r="32" spans="1:18" x14ac:dyDescent="0.35">
      <c r="A32" s="3">
        <v>545290.78859843349</v>
      </c>
      <c r="B32" s="3">
        <v>238376.2841928</v>
      </c>
      <c r="C32" s="12">
        <v>6.9</v>
      </c>
      <c r="D32" s="7" t="s">
        <v>4</v>
      </c>
      <c r="E32" s="2" t="s">
        <v>16</v>
      </c>
    </row>
    <row r="33" spans="1:5" x14ac:dyDescent="0.35">
      <c r="A33" s="3">
        <v>543306.80062357336</v>
      </c>
      <c r="B33" s="3">
        <v>239121.87087879999</v>
      </c>
      <c r="C33" s="12">
        <v>4.5</v>
      </c>
      <c r="D33" s="7" t="s">
        <v>4</v>
      </c>
      <c r="E33" s="11" t="s">
        <v>9</v>
      </c>
    </row>
    <row r="34" spans="1:5" x14ac:dyDescent="0.35">
      <c r="A34" s="3">
        <v>549307.39735539269</v>
      </c>
      <c r="B34" s="3">
        <v>238124.2813001</v>
      </c>
      <c r="C34" s="3">
        <v>5.0999999999999996</v>
      </c>
      <c r="D34" s="7">
        <v>0.26600000000000001</v>
      </c>
      <c r="E34" s="2" t="s">
        <v>9</v>
      </c>
    </row>
    <row r="35" spans="1:5" x14ac:dyDescent="0.35">
      <c r="A35" s="3">
        <v>546542.22633992753</v>
      </c>
      <c r="B35" s="3">
        <v>240799.54207950001</v>
      </c>
      <c r="C35" s="3">
        <v>5.6</v>
      </c>
      <c r="D35" s="7">
        <v>0.11600000000000001</v>
      </c>
      <c r="E35" s="2" t="s">
        <v>9</v>
      </c>
    </row>
    <row r="36" spans="1:5" x14ac:dyDescent="0.35">
      <c r="A36" s="3">
        <v>547382.71037844801</v>
      </c>
      <c r="B36" s="3">
        <v>241413.24534669999</v>
      </c>
      <c r="C36" s="3">
        <v>4.5</v>
      </c>
      <c r="D36" s="7"/>
      <c r="E36" s="2" t="s">
        <v>9</v>
      </c>
    </row>
    <row r="37" spans="1:5" x14ac:dyDescent="0.35">
      <c r="A37" s="3">
        <v>547741.8624700947</v>
      </c>
      <c r="B37" s="3">
        <v>241471.930964</v>
      </c>
      <c r="C37" s="3">
        <v>6.3</v>
      </c>
      <c r="D37">
        <v>4.2000000000000003E-2</v>
      </c>
      <c r="E37" s="2" t="s">
        <v>9</v>
      </c>
    </row>
    <row r="38" spans="1:5" x14ac:dyDescent="0.35">
      <c r="A38" s="3">
        <v>543869.98853973008</v>
      </c>
      <c r="B38" s="3">
        <v>243070.30121999999</v>
      </c>
      <c r="C38" s="3">
        <v>4.5</v>
      </c>
      <c r="D38" s="6">
        <v>1.3660000000000001</v>
      </c>
      <c r="E38" s="2" t="s">
        <v>9</v>
      </c>
    </row>
    <row r="39" spans="1:5" x14ac:dyDescent="0.35">
      <c r="A39" s="3">
        <v>551340.5</v>
      </c>
      <c r="B39" s="3">
        <v>240833.85</v>
      </c>
      <c r="C39" s="3">
        <v>4.5</v>
      </c>
      <c r="D39" t="s">
        <v>5</v>
      </c>
      <c r="E39" s="2" t="s">
        <v>13</v>
      </c>
    </row>
  </sheetData>
  <sortState xmlns:xlrd2="http://schemas.microsoft.com/office/spreadsheetml/2017/richdata2" ref="A2:E39">
    <sortCondition ref="E2:E39"/>
  </sortState>
  <mergeCells count="3">
    <mergeCell ref="O20:P20"/>
    <mergeCell ref="Q20:R20"/>
    <mergeCell ref="N20:N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BCA0-ACB2-440D-AAEC-47A7D756907F}">
  <dimension ref="A1:E39"/>
  <sheetViews>
    <sheetView topLeftCell="A21" workbookViewId="0">
      <selection activeCell="D2" sqref="D2:E3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8</v>
      </c>
    </row>
    <row r="2" spans="1:5" x14ac:dyDescent="0.35">
      <c r="A2" s="2">
        <v>511844</v>
      </c>
      <c r="B2" s="2">
        <v>241970</v>
      </c>
      <c r="C2" s="5">
        <v>6.6</v>
      </c>
      <c r="D2">
        <v>0.12</v>
      </c>
      <c r="E2" s="2" t="s">
        <v>10</v>
      </c>
    </row>
    <row r="3" spans="1:5" x14ac:dyDescent="0.35">
      <c r="A3" s="2">
        <v>528492</v>
      </c>
      <c r="B3" s="2">
        <v>221272</v>
      </c>
      <c r="C3" s="2">
        <v>6.5</v>
      </c>
      <c r="D3">
        <v>0.14799999999999999</v>
      </c>
      <c r="E3" s="2" t="s">
        <v>10</v>
      </c>
    </row>
    <row r="4" spans="1:5" x14ac:dyDescent="0.35">
      <c r="A4" s="2">
        <v>574245</v>
      </c>
      <c r="B4" s="2">
        <v>237001</v>
      </c>
      <c r="C4" s="2">
        <v>7</v>
      </c>
      <c r="D4" s="6">
        <v>6.0000000000000001E-3</v>
      </c>
      <c r="E4" s="2" t="s">
        <v>10</v>
      </c>
    </row>
    <row r="5" spans="1:5" x14ac:dyDescent="0.35">
      <c r="A5" s="2">
        <v>557336</v>
      </c>
      <c r="B5" s="2">
        <v>232118</v>
      </c>
      <c r="C5" s="3">
        <v>6.9</v>
      </c>
      <c r="D5">
        <v>1.7999999999999999E-2</v>
      </c>
      <c r="E5" s="10" t="s">
        <v>10</v>
      </c>
    </row>
    <row r="6" spans="1:5" x14ac:dyDescent="0.35">
      <c r="A6" s="2">
        <v>571763</v>
      </c>
      <c r="B6" s="2">
        <v>244308</v>
      </c>
      <c r="C6" s="2">
        <v>4.5</v>
      </c>
      <c r="D6" s="7">
        <v>0.57199999999999995</v>
      </c>
      <c r="E6" s="2" t="s">
        <v>10</v>
      </c>
    </row>
    <row r="7" spans="1:5" x14ac:dyDescent="0.35">
      <c r="A7" s="2">
        <v>606056</v>
      </c>
      <c r="B7" s="2">
        <v>246538</v>
      </c>
      <c r="C7" s="5">
        <v>5.2</v>
      </c>
      <c r="D7" s="7">
        <v>0.11</v>
      </c>
      <c r="E7" s="2" t="s">
        <v>10</v>
      </c>
    </row>
    <row r="8" spans="1:5" x14ac:dyDescent="0.35">
      <c r="A8" s="3">
        <v>547055.45320000174</v>
      </c>
      <c r="B8" s="3">
        <v>238639.83793539999</v>
      </c>
      <c r="C8" s="12">
        <v>6.9</v>
      </c>
      <c r="D8" s="7"/>
      <c r="E8" s="2" t="s">
        <v>10</v>
      </c>
    </row>
    <row r="9" spans="1:5" x14ac:dyDescent="0.35">
      <c r="A9" s="3">
        <v>547071.0125217376</v>
      </c>
      <c r="B9" s="3">
        <v>238670.79196959999</v>
      </c>
      <c r="C9" s="12">
        <v>6.9</v>
      </c>
      <c r="D9" s="7"/>
      <c r="E9" s="2" t="s">
        <v>10</v>
      </c>
    </row>
    <row r="10" spans="1:5" x14ac:dyDescent="0.35">
      <c r="A10" s="3">
        <v>553710.03538946749</v>
      </c>
      <c r="B10" s="3">
        <v>244396.30447890001</v>
      </c>
      <c r="C10" s="3">
        <v>6.8</v>
      </c>
      <c r="D10" s="7">
        <v>0.06</v>
      </c>
      <c r="E10" s="10" t="s">
        <v>10</v>
      </c>
    </row>
    <row r="11" spans="1:5" x14ac:dyDescent="0.35">
      <c r="A11" s="3">
        <v>509061.94914922101</v>
      </c>
      <c r="B11" s="3">
        <v>187792.9489931</v>
      </c>
      <c r="C11" s="3">
        <v>4.5</v>
      </c>
      <c r="D11" s="15" t="s">
        <v>7</v>
      </c>
      <c r="E11" s="4" t="s">
        <v>10</v>
      </c>
    </row>
    <row r="12" spans="1:5" x14ac:dyDescent="0.35">
      <c r="A12" s="3">
        <v>550725.51218601409</v>
      </c>
      <c r="B12" s="3">
        <v>240785.28106549999</v>
      </c>
      <c r="C12" s="3">
        <v>6.7</v>
      </c>
      <c r="D12" s="7">
        <v>0.19600000000000001</v>
      </c>
      <c r="E12" s="2" t="s">
        <v>10</v>
      </c>
    </row>
    <row r="13" spans="1:5" x14ac:dyDescent="0.35">
      <c r="A13" s="3">
        <v>551804.19079919881</v>
      </c>
      <c r="B13" s="3">
        <v>240619.80800009999</v>
      </c>
      <c r="C13" s="5">
        <v>7</v>
      </c>
      <c r="D13" s="7">
        <v>0.318</v>
      </c>
      <c r="E13" s="2" t="s">
        <v>10</v>
      </c>
    </row>
    <row r="14" spans="1:5" x14ac:dyDescent="0.35">
      <c r="A14" s="3">
        <v>550725.51218601409</v>
      </c>
      <c r="B14" s="3">
        <v>240785.28106549999</v>
      </c>
      <c r="C14" s="3">
        <v>6.1</v>
      </c>
      <c r="D14" s="7">
        <v>7.8E-2</v>
      </c>
      <c r="E14" s="2" t="s">
        <v>10</v>
      </c>
    </row>
    <row r="15" spans="1:5" x14ac:dyDescent="0.35">
      <c r="A15" s="3">
        <v>548224.62518558418</v>
      </c>
      <c r="B15" s="3">
        <v>237007.5683287</v>
      </c>
      <c r="C15" s="3">
        <v>4.5</v>
      </c>
      <c r="D15" s="7">
        <v>0.40400000000000003</v>
      </c>
      <c r="E15" s="2" t="s">
        <v>10</v>
      </c>
    </row>
    <row r="16" spans="1:5" x14ac:dyDescent="0.35">
      <c r="A16" s="3">
        <v>549962.38494740776</v>
      </c>
      <c r="B16" s="3">
        <v>238062.5734999</v>
      </c>
      <c r="C16" s="3">
        <v>4.5</v>
      </c>
      <c r="D16" s="7">
        <v>0.21099999999999999</v>
      </c>
      <c r="E16" s="2" t="s">
        <v>9</v>
      </c>
    </row>
    <row r="17" spans="1:5" x14ac:dyDescent="0.35">
      <c r="A17" s="3">
        <v>551546.12241139298</v>
      </c>
      <c r="B17" s="3">
        <v>240902.69883509999</v>
      </c>
      <c r="C17" s="3">
        <v>4.9000000000000004</v>
      </c>
      <c r="D17" s="7">
        <v>0.104</v>
      </c>
      <c r="E17" s="2" t="s">
        <v>9</v>
      </c>
    </row>
    <row r="18" spans="1:5" ht="15" thickBot="1" x14ac:dyDescent="0.4">
      <c r="A18" s="3">
        <v>535564.508724335</v>
      </c>
      <c r="B18" s="3">
        <v>220432.20689249999</v>
      </c>
      <c r="C18" s="3">
        <v>4.5</v>
      </c>
      <c r="D18" s="7">
        <v>0.13</v>
      </c>
      <c r="E18" s="10" t="s">
        <v>9</v>
      </c>
    </row>
    <row r="19" spans="1:5" ht="15" thickBot="1" x14ac:dyDescent="0.4">
      <c r="A19" s="3">
        <v>543306.80062357336</v>
      </c>
      <c r="B19" s="3">
        <v>239121.87087879999</v>
      </c>
      <c r="C19" s="13">
        <v>6.7</v>
      </c>
      <c r="E19" s="10" t="s">
        <v>9</v>
      </c>
    </row>
    <row r="20" spans="1:5" ht="15" thickBot="1" x14ac:dyDescent="0.4">
      <c r="A20" s="3">
        <v>588703</v>
      </c>
      <c r="B20" s="3">
        <v>244668</v>
      </c>
      <c r="C20" s="13">
        <v>6.1</v>
      </c>
      <c r="D20">
        <v>9.4E-2</v>
      </c>
      <c r="E20" s="4" t="s">
        <v>9</v>
      </c>
    </row>
    <row r="21" spans="1:5" ht="15" thickBot="1" x14ac:dyDescent="0.4">
      <c r="A21" s="2">
        <v>526669</v>
      </c>
      <c r="B21" s="2">
        <v>200169</v>
      </c>
      <c r="C21" s="14">
        <v>5.5</v>
      </c>
      <c r="D21">
        <v>0.09</v>
      </c>
      <c r="E21" s="2" t="s">
        <v>9</v>
      </c>
    </row>
    <row r="22" spans="1:5" ht="15" thickBot="1" x14ac:dyDescent="0.4">
      <c r="A22" s="3">
        <v>547779.40756862308</v>
      </c>
      <c r="B22" s="3">
        <v>242387.1697849</v>
      </c>
      <c r="C22" s="13">
        <v>5.2</v>
      </c>
      <c r="D22">
        <v>1.014</v>
      </c>
      <c r="E22" s="2" t="s">
        <v>9</v>
      </c>
    </row>
    <row r="23" spans="1:5" x14ac:dyDescent="0.35">
      <c r="A23" s="4">
        <v>544307.13542585622</v>
      </c>
      <c r="B23" s="4">
        <v>240847.57140660001</v>
      </c>
      <c r="C23" s="4">
        <v>4.5</v>
      </c>
      <c r="D23" s="8">
        <v>1.714</v>
      </c>
      <c r="E23" s="10" t="s">
        <v>9</v>
      </c>
    </row>
    <row r="24" spans="1:5" x14ac:dyDescent="0.35">
      <c r="A24" s="3">
        <v>549962.38494740776</v>
      </c>
      <c r="B24" s="3">
        <v>238062.5734999</v>
      </c>
      <c r="C24" s="3">
        <v>4.5</v>
      </c>
      <c r="D24" s="6">
        <v>1.5980000000000001</v>
      </c>
      <c r="E24" s="2" t="s">
        <v>9</v>
      </c>
    </row>
    <row r="25" spans="1:5" x14ac:dyDescent="0.35">
      <c r="A25" s="3">
        <v>549349.77819263749</v>
      </c>
      <c r="B25" s="3">
        <v>237695.41803189999</v>
      </c>
      <c r="C25" s="3">
        <v>4.5</v>
      </c>
      <c r="D25">
        <v>0.83199999999999996</v>
      </c>
      <c r="E25" s="2" t="s">
        <v>9</v>
      </c>
    </row>
    <row r="26" spans="1:5" x14ac:dyDescent="0.35">
      <c r="A26" s="3">
        <v>550440.89963251201</v>
      </c>
      <c r="B26" s="3">
        <v>244269.26341670001</v>
      </c>
      <c r="C26" s="3">
        <v>4.5</v>
      </c>
      <c r="D26" s="6">
        <v>1.28</v>
      </c>
      <c r="E26" s="2" t="s">
        <v>9</v>
      </c>
    </row>
    <row r="27" spans="1:5" x14ac:dyDescent="0.35">
      <c r="A27" s="2">
        <v>549200</v>
      </c>
      <c r="B27" s="2">
        <v>235713</v>
      </c>
      <c r="C27" s="2">
        <v>4.5</v>
      </c>
      <c r="D27" s="6">
        <v>3.32</v>
      </c>
      <c r="E27" s="2" t="s">
        <v>9</v>
      </c>
    </row>
    <row r="28" spans="1:5" x14ac:dyDescent="0.35">
      <c r="A28" s="2">
        <v>543324</v>
      </c>
      <c r="B28" s="2">
        <v>239136</v>
      </c>
      <c r="C28" s="5">
        <v>4.5</v>
      </c>
      <c r="D28" s="7">
        <v>9.1999999999999998E-2</v>
      </c>
      <c r="E28" s="2" t="s">
        <v>9</v>
      </c>
    </row>
    <row r="29" spans="1:5" x14ac:dyDescent="0.35">
      <c r="A29" s="2">
        <v>549495</v>
      </c>
      <c r="B29" s="2">
        <v>237335</v>
      </c>
      <c r="C29" s="5">
        <v>4.5999999999999996</v>
      </c>
      <c r="D29" s="7">
        <v>0.51400000000000001</v>
      </c>
      <c r="E29" s="2" t="s">
        <v>9</v>
      </c>
    </row>
    <row r="30" spans="1:5" x14ac:dyDescent="0.35">
      <c r="A30" s="2">
        <v>570494</v>
      </c>
      <c r="B30" s="2">
        <v>233080</v>
      </c>
      <c r="C30" s="2">
        <v>5.2</v>
      </c>
      <c r="D30" s="7">
        <v>5.81</v>
      </c>
      <c r="E30" s="2" t="s">
        <v>9</v>
      </c>
    </row>
    <row r="31" spans="1:5" x14ac:dyDescent="0.35">
      <c r="A31" s="2">
        <v>565841</v>
      </c>
      <c r="B31" s="2">
        <v>231517</v>
      </c>
      <c r="C31" s="5">
        <v>6.5</v>
      </c>
      <c r="D31" s="7">
        <v>0.14199999999999999</v>
      </c>
      <c r="E31" s="2" t="s">
        <v>9</v>
      </c>
    </row>
    <row r="32" spans="1:5" x14ac:dyDescent="0.35">
      <c r="A32" s="3">
        <v>545290.78859843349</v>
      </c>
      <c r="B32" s="3">
        <v>238376.2841928</v>
      </c>
      <c r="C32" s="12">
        <v>6.9</v>
      </c>
      <c r="D32" s="7"/>
      <c r="E32" s="2" t="s">
        <v>9</v>
      </c>
    </row>
    <row r="33" spans="1:5" x14ac:dyDescent="0.35">
      <c r="A33" s="3">
        <v>543306.80062357336</v>
      </c>
      <c r="B33" s="3">
        <v>239121.87087879999</v>
      </c>
      <c r="C33" s="12">
        <v>4.5</v>
      </c>
      <c r="D33" s="7"/>
      <c r="E33" s="11" t="s">
        <v>9</v>
      </c>
    </row>
    <row r="34" spans="1:5" x14ac:dyDescent="0.35">
      <c r="A34" s="3">
        <v>549307.39735539269</v>
      </c>
      <c r="B34" s="3">
        <v>238124.2813001</v>
      </c>
      <c r="C34" s="3">
        <v>5.0999999999999996</v>
      </c>
      <c r="D34" s="7">
        <v>0.26600000000000001</v>
      </c>
      <c r="E34" s="2" t="s">
        <v>9</v>
      </c>
    </row>
    <row r="35" spans="1:5" x14ac:dyDescent="0.35">
      <c r="A35" s="3">
        <v>546542.22633992753</v>
      </c>
      <c r="B35" s="3">
        <v>240799.54207950001</v>
      </c>
      <c r="C35" s="3">
        <v>5.6</v>
      </c>
      <c r="D35" s="7">
        <v>0.11600000000000001</v>
      </c>
      <c r="E35" s="2" t="s">
        <v>9</v>
      </c>
    </row>
    <row r="36" spans="1:5" x14ac:dyDescent="0.35">
      <c r="A36" s="3">
        <v>547382.71037844801</v>
      </c>
      <c r="B36" s="3">
        <v>241413.24534669999</v>
      </c>
      <c r="C36" s="3">
        <v>4.5</v>
      </c>
      <c r="D36" s="7"/>
      <c r="E36" s="2" t="s">
        <v>9</v>
      </c>
    </row>
    <row r="37" spans="1:5" x14ac:dyDescent="0.35">
      <c r="A37" s="3">
        <v>547741.8624700947</v>
      </c>
      <c r="B37" s="3">
        <v>241471.930964</v>
      </c>
      <c r="C37" s="3">
        <v>6.3</v>
      </c>
      <c r="D37">
        <v>4.2000000000000003E-2</v>
      </c>
      <c r="E37" s="2" t="s">
        <v>9</v>
      </c>
    </row>
    <row r="38" spans="1:5" x14ac:dyDescent="0.35">
      <c r="A38" s="3">
        <v>543869.98853973008</v>
      </c>
      <c r="B38" s="3">
        <v>243070.30121999999</v>
      </c>
      <c r="C38" s="3">
        <v>4.5</v>
      </c>
      <c r="D38" s="6">
        <v>1.3660000000000001</v>
      </c>
      <c r="E38" s="2" t="s">
        <v>9</v>
      </c>
    </row>
    <row r="39" spans="1:5" x14ac:dyDescent="0.35">
      <c r="A39" s="3">
        <v>551340.5</v>
      </c>
      <c r="B39" s="3">
        <v>240833.85</v>
      </c>
      <c r="C39" s="3">
        <v>4.5</v>
      </c>
      <c r="E39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7723-D65F-4D2B-BE6D-6646C39A64C3}">
  <dimension ref="A1:F97"/>
  <sheetViews>
    <sheetView workbookViewId="0">
      <selection activeCell="F22" sqref="F22"/>
    </sheetView>
  </sheetViews>
  <sheetFormatPr defaultRowHeight="14.5" x14ac:dyDescent="0.35"/>
  <sheetData>
    <row r="1" spans="1:5" ht="29" x14ac:dyDescent="0.35">
      <c r="A1" s="22" t="s">
        <v>30</v>
      </c>
      <c r="B1" s="38" t="s">
        <v>157</v>
      </c>
      <c r="C1" s="22" t="s">
        <v>52</v>
      </c>
      <c r="D1" s="22" t="s">
        <v>156</v>
      </c>
    </row>
    <row r="2" spans="1:5" x14ac:dyDescent="0.35">
      <c r="A2" s="21">
        <v>1</v>
      </c>
      <c r="B2">
        <v>1</v>
      </c>
      <c r="C2" s="21">
        <v>1</v>
      </c>
      <c r="D2" s="21">
        <v>0.12</v>
      </c>
    </row>
    <row r="3" spans="1:5" x14ac:dyDescent="0.35">
      <c r="A3" s="21">
        <v>1</v>
      </c>
      <c r="B3">
        <v>1</v>
      </c>
      <c r="C3" s="21">
        <v>2</v>
      </c>
      <c r="D3" s="21">
        <v>0.12</v>
      </c>
    </row>
    <row r="4" spans="1:5" x14ac:dyDescent="0.35">
      <c r="A4" s="21">
        <v>1</v>
      </c>
      <c r="B4">
        <v>1</v>
      </c>
      <c r="C4" s="21">
        <v>3</v>
      </c>
      <c r="D4" s="21">
        <v>0.12</v>
      </c>
    </row>
    <row r="5" spans="1:5" x14ac:dyDescent="0.35">
      <c r="A5" s="21">
        <v>2</v>
      </c>
      <c r="B5">
        <v>1</v>
      </c>
      <c r="C5" s="21">
        <v>1</v>
      </c>
      <c r="D5" s="21">
        <v>0.14799999999999999</v>
      </c>
    </row>
    <row r="6" spans="1:5" x14ac:dyDescent="0.35">
      <c r="A6" s="21">
        <v>2</v>
      </c>
      <c r="B6">
        <v>1</v>
      </c>
      <c r="C6" s="21">
        <v>2</v>
      </c>
      <c r="D6" s="21">
        <v>0.14799999999999999</v>
      </c>
      <c r="E6" s="7"/>
    </row>
    <row r="7" spans="1:5" x14ac:dyDescent="0.35">
      <c r="A7" s="21">
        <v>2</v>
      </c>
      <c r="B7">
        <v>1</v>
      </c>
      <c r="C7" s="21">
        <v>3</v>
      </c>
      <c r="D7" s="21">
        <f>D6</f>
        <v>0.14799999999999999</v>
      </c>
      <c r="E7" s="7"/>
    </row>
    <row r="8" spans="1:5" x14ac:dyDescent="0.35">
      <c r="A8" s="21">
        <v>3</v>
      </c>
      <c r="B8">
        <v>1</v>
      </c>
      <c r="C8" s="21">
        <v>1</v>
      </c>
      <c r="D8" s="6">
        <v>6.0000000000000001E-3</v>
      </c>
      <c r="E8" s="7"/>
    </row>
    <row r="9" spans="1:5" x14ac:dyDescent="0.35">
      <c r="A9" s="21">
        <v>3</v>
      </c>
      <c r="B9">
        <v>1</v>
      </c>
      <c r="C9" s="21">
        <v>2</v>
      </c>
      <c r="D9" s="6">
        <v>6.0000000000000001E-3</v>
      </c>
    </row>
    <row r="10" spans="1:5" x14ac:dyDescent="0.35">
      <c r="A10" s="21">
        <v>3</v>
      </c>
      <c r="B10">
        <v>1</v>
      </c>
      <c r="C10" s="21">
        <v>3</v>
      </c>
      <c r="D10" s="6">
        <v>6.0000000000000001E-3</v>
      </c>
    </row>
    <row r="11" spans="1:5" x14ac:dyDescent="0.35">
      <c r="A11" s="21">
        <v>4</v>
      </c>
      <c r="B11">
        <v>1</v>
      </c>
      <c r="C11" s="21">
        <v>1</v>
      </c>
      <c r="D11">
        <v>1.7999999999999999E-2</v>
      </c>
    </row>
    <row r="12" spans="1:5" x14ac:dyDescent="0.35">
      <c r="A12" s="21">
        <v>4</v>
      </c>
      <c r="B12">
        <v>1</v>
      </c>
      <c r="C12" s="21">
        <v>2</v>
      </c>
      <c r="D12">
        <v>1.7999999999999999E-2</v>
      </c>
    </row>
    <row r="13" spans="1:5" x14ac:dyDescent="0.35">
      <c r="A13" s="21">
        <v>4</v>
      </c>
      <c r="B13">
        <v>1</v>
      </c>
      <c r="C13" s="21">
        <v>3</v>
      </c>
      <c r="D13">
        <v>1.7999999999999999E-2</v>
      </c>
    </row>
    <row r="14" spans="1:5" x14ac:dyDescent="0.35">
      <c r="A14" s="21">
        <v>5</v>
      </c>
      <c r="B14">
        <v>1</v>
      </c>
      <c r="C14" s="21">
        <v>1</v>
      </c>
      <c r="D14" s="7">
        <v>0.57199999999999995</v>
      </c>
    </row>
    <row r="15" spans="1:5" x14ac:dyDescent="0.35">
      <c r="A15" s="21">
        <v>5</v>
      </c>
      <c r="B15">
        <v>1</v>
      </c>
      <c r="C15" s="21">
        <v>2</v>
      </c>
      <c r="D15" s="7">
        <v>0.57199999999999995</v>
      </c>
    </row>
    <row r="16" spans="1:5" x14ac:dyDescent="0.35">
      <c r="A16" s="21">
        <v>5</v>
      </c>
      <c r="B16">
        <v>1</v>
      </c>
      <c r="C16" s="21">
        <v>3</v>
      </c>
      <c r="D16" s="7">
        <v>0.57199999999999995</v>
      </c>
    </row>
    <row r="17" spans="1:4" x14ac:dyDescent="0.35">
      <c r="A17" s="21">
        <v>6</v>
      </c>
      <c r="B17">
        <v>1</v>
      </c>
      <c r="C17" s="21">
        <v>1</v>
      </c>
      <c r="D17" s="21">
        <v>0.11</v>
      </c>
    </row>
    <row r="18" spans="1:4" x14ac:dyDescent="0.35">
      <c r="A18" s="21">
        <v>6</v>
      </c>
      <c r="B18">
        <v>1</v>
      </c>
      <c r="C18" s="21">
        <v>2</v>
      </c>
      <c r="D18" s="21">
        <v>0.11</v>
      </c>
    </row>
    <row r="19" spans="1:4" x14ac:dyDescent="0.35">
      <c r="A19" s="21">
        <v>6</v>
      </c>
      <c r="B19">
        <v>1</v>
      </c>
      <c r="C19" s="21">
        <v>3</v>
      </c>
      <c r="D19" s="21">
        <v>0.11</v>
      </c>
    </row>
    <row r="20" spans="1:4" x14ac:dyDescent="0.35">
      <c r="A20" s="21">
        <v>9</v>
      </c>
      <c r="B20">
        <v>1</v>
      </c>
      <c r="C20" s="21">
        <v>1</v>
      </c>
      <c r="D20" s="7">
        <v>0.06</v>
      </c>
    </row>
    <row r="21" spans="1:4" x14ac:dyDescent="0.35">
      <c r="A21" s="21">
        <v>9</v>
      </c>
      <c r="B21">
        <v>1</v>
      </c>
      <c r="C21" s="21">
        <v>2</v>
      </c>
      <c r="D21" s="7">
        <v>0.06</v>
      </c>
    </row>
    <row r="22" spans="1:4" x14ac:dyDescent="0.35">
      <c r="A22" s="21">
        <v>9</v>
      </c>
      <c r="B22">
        <v>1</v>
      </c>
      <c r="C22" s="21">
        <v>3</v>
      </c>
      <c r="D22" s="7">
        <v>0.06</v>
      </c>
    </row>
    <row r="23" spans="1:4" x14ac:dyDescent="0.35">
      <c r="A23" s="21">
        <v>10</v>
      </c>
      <c r="B23">
        <v>1</v>
      </c>
      <c r="C23" s="21">
        <v>1</v>
      </c>
      <c r="D23" s="7">
        <v>9.1999999999999998E-2</v>
      </c>
    </row>
    <row r="24" spans="1:4" x14ac:dyDescent="0.35">
      <c r="A24" s="21">
        <v>10</v>
      </c>
      <c r="B24">
        <v>1</v>
      </c>
      <c r="C24" s="21">
        <v>2</v>
      </c>
      <c r="D24" s="7">
        <v>9.1999999999999998E-2</v>
      </c>
    </row>
    <row r="25" spans="1:4" x14ac:dyDescent="0.35">
      <c r="A25" s="21">
        <v>10</v>
      </c>
      <c r="B25">
        <v>1</v>
      </c>
      <c r="C25" s="21">
        <v>3</v>
      </c>
      <c r="D25" s="7">
        <v>9.1999999999999998E-2</v>
      </c>
    </row>
    <row r="26" spans="1:4" x14ac:dyDescent="0.35">
      <c r="A26" s="21">
        <v>12</v>
      </c>
      <c r="B26">
        <v>1</v>
      </c>
      <c r="C26" s="21">
        <v>1</v>
      </c>
      <c r="D26" s="7">
        <v>0.19600000000000001</v>
      </c>
    </row>
    <row r="27" spans="1:4" x14ac:dyDescent="0.35">
      <c r="A27" s="21">
        <v>12</v>
      </c>
      <c r="B27">
        <v>1</v>
      </c>
      <c r="C27" s="21">
        <v>2</v>
      </c>
      <c r="D27" s="7">
        <v>0.19600000000000001</v>
      </c>
    </row>
    <row r="28" spans="1:4" x14ac:dyDescent="0.35">
      <c r="A28" s="21">
        <v>12</v>
      </c>
      <c r="B28">
        <v>1</v>
      </c>
      <c r="C28" s="21">
        <v>3</v>
      </c>
      <c r="D28" s="7">
        <v>0.19600000000000001</v>
      </c>
    </row>
    <row r="29" spans="1:4" x14ac:dyDescent="0.35">
      <c r="A29" s="21">
        <v>13</v>
      </c>
      <c r="B29">
        <v>1</v>
      </c>
      <c r="C29" s="21">
        <v>1</v>
      </c>
      <c r="D29" s="7">
        <v>0.318</v>
      </c>
    </row>
    <row r="30" spans="1:4" x14ac:dyDescent="0.35">
      <c r="A30" s="21">
        <v>13</v>
      </c>
      <c r="B30">
        <v>1</v>
      </c>
      <c r="C30" s="21">
        <v>2</v>
      </c>
      <c r="D30" s="7">
        <v>0.318</v>
      </c>
    </row>
    <row r="31" spans="1:4" x14ac:dyDescent="0.35">
      <c r="A31" s="21">
        <v>13</v>
      </c>
      <c r="B31">
        <v>1</v>
      </c>
      <c r="C31" s="21">
        <v>3</v>
      </c>
      <c r="D31" s="7">
        <v>0.318</v>
      </c>
    </row>
    <row r="32" spans="1:4" x14ac:dyDescent="0.35">
      <c r="A32" s="21">
        <v>14</v>
      </c>
      <c r="B32">
        <v>1</v>
      </c>
      <c r="C32" s="21">
        <v>1</v>
      </c>
      <c r="D32" s="7">
        <v>7.8E-2</v>
      </c>
    </row>
    <row r="33" spans="1:6" x14ac:dyDescent="0.35">
      <c r="A33" s="21">
        <v>14</v>
      </c>
      <c r="B33">
        <v>1</v>
      </c>
      <c r="C33" s="21">
        <v>2</v>
      </c>
      <c r="D33" s="7">
        <v>7.8E-2</v>
      </c>
    </row>
    <row r="34" spans="1:6" x14ac:dyDescent="0.35">
      <c r="A34" s="21">
        <v>14</v>
      </c>
      <c r="B34">
        <v>1</v>
      </c>
      <c r="C34" s="21">
        <v>3</v>
      </c>
      <c r="D34" s="7">
        <v>7.8E-2</v>
      </c>
    </row>
    <row r="35" spans="1:6" x14ac:dyDescent="0.35">
      <c r="A35" s="21">
        <v>15</v>
      </c>
      <c r="B35">
        <v>2</v>
      </c>
      <c r="C35" s="21">
        <v>1</v>
      </c>
      <c r="D35" s="7">
        <v>0.40400000000000003</v>
      </c>
    </row>
    <row r="36" spans="1:6" x14ac:dyDescent="0.35">
      <c r="A36" s="21">
        <v>15</v>
      </c>
      <c r="B36">
        <v>2</v>
      </c>
      <c r="C36" s="21">
        <v>2</v>
      </c>
      <c r="D36" s="7">
        <v>0.40400000000000003</v>
      </c>
    </row>
    <row r="37" spans="1:6" x14ac:dyDescent="0.35">
      <c r="A37" s="21">
        <v>15</v>
      </c>
      <c r="B37">
        <v>2</v>
      </c>
      <c r="C37" s="21">
        <v>3</v>
      </c>
      <c r="D37" s="7">
        <v>0.40400000000000003</v>
      </c>
    </row>
    <row r="38" spans="1:6" x14ac:dyDescent="0.35">
      <c r="A38" s="21">
        <v>16</v>
      </c>
      <c r="B38">
        <v>2</v>
      </c>
      <c r="C38" s="21">
        <v>1</v>
      </c>
      <c r="D38" s="7">
        <v>0.21099999999999999</v>
      </c>
    </row>
    <row r="39" spans="1:6" x14ac:dyDescent="0.35">
      <c r="A39" s="21">
        <v>16</v>
      </c>
      <c r="B39">
        <v>2</v>
      </c>
      <c r="C39" s="21">
        <v>2</v>
      </c>
      <c r="D39" s="7">
        <v>0.21099999999999999</v>
      </c>
    </row>
    <row r="40" spans="1:6" x14ac:dyDescent="0.35">
      <c r="A40" s="21">
        <v>16</v>
      </c>
      <c r="B40">
        <v>2</v>
      </c>
      <c r="C40" s="21">
        <v>3</v>
      </c>
      <c r="D40" s="7">
        <v>0.21099999999999999</v>
      </c>
    </row>
    <row r="41" spans="1:6" x14ac:dyDescent="0.35">
      <c r="A41" s="21">
        <v>17</v>
      </c>
      <c r="B41">
        <v>2</v>
      </c>
      <c r="C41" s="21">
        <v>1</v>
      </c>
      <c r="D41" s="7">
        <v>0.104</v>
      </c>
    </row>
    <row r="42" spans="1:6" x14ac:dyDescent="0.35">
      <c r="A42" s="21">
        <v>17</v>
      </c>
      <c r="B42">
        <v>2</v>
      </c>
      <c r="C42" s="21">
        <v>2</v>
      </c>
      <c r="D42" s="7">
        <v>0.104</v>
      </c>
    </row>
    <row r="43" spans="1:6" x14ac:dyDescent="0.35">
      <c r="A43" s="21">
        <v>17</v>
      </c>
      <c r="B43">
        <v>2</v>
      </c>
      <c r="C43" s="21">
        <v>3</v>
      </c>
      <c r="D43" s="7">
        <v>0.104</v>
      </c>
    </row>
    <row r="44" spans="1:6" s="28" customFormat="1" x14ac:dyDescent="0.35">
      <c r="A44" s="37">
        <v>18</v>
      </c>
      <c r="B44" s="28">
        <v>2</v>
      </c>
      <c r="C44" s="37">
        <v>1</v>
      </c>
      <c r="D44" s="7">
        <v>0.13</v>
      </c>
      <c r="F44"/>
    </row>
    <row r="45" spans="1:6" s="28" customFormat="1" x14ac:dyDescent="0.35">
      <c r="A45" s="37">
        <v>18</v>
      </c>
      <c r="B45" s="28">
        <v>2</v>
      </c>
      <c r="C45" s="37">
        <v>2</v>
      </c>
      <c r="D45" s="7">
        <v>0.13</v>
      </c>
      <c r="F45"/>
    </row>
    <row r="46" spans="1:6" s="28" customFormat="1" x14ac:dyDescent="0.35">
      <c r="A46" s="37">
        <v>18</v>
      </c>
      <c r="B46" s="28">
        <v>2</v>
      </c>
      <c r="C46" s="37">
        <v>3</v>
      </c>
      <c r="D46" s="7">
        <v>0.13</v>
      </c>
      <c r="F46"/>
    </row>
    <row r="47" spans="1:6" x14ac:dyDescent="0.35">
      <c r="A47" s="21">
        <v>20</v>
      </c>
      <c r="B47">
        <v>2</v>
      </c>
      <c r="C47" s="21">
        <v>1</v>
      </c>
      <c r="D47">
        <v>9.4E-2</v>
      </c>
    </row>
    <row r="48" spans="1:6" x14ac:dyDescent="0.35">
      <c r="A48" s="21">
        <v>20</v>
      </c>
      <c r="B48">
        <v>2</v>
      </c>
      <c r="C48" s="21">
        <v>2</v>
      </c>
      <c r="D48">
        <v>9.4E-2</v>
      </c>
    </row>
    <row r="49" spans="1:4" x14ac:dyDescent="0.35">
      <c r="A49" s="21">
        <v>20</v>
      </c>
      <c r="B49">
        <v>2</v>
      </c>
      <c r="C49" s="21">
        <v>3</v>
      </c>
      <c r="D49">
        <v>9.4E-2</v>
      </c>
    </row>
    <row r="50" spans="1:4" x14ac:dyDescent="0.35">
      <c r="A50" s="21">
        <v>21</v>
      </c>
      <c r="B50">
        <v>2</v>
      </c>
      <c r="C50" s="21">
        <v>1</v>
      </c>
      <c r="D50">
        <v>0.09</v>
      </c>
    </row>
    <row r="51" spans="1:4" x14ac:dyDescent="0.35">
      <c r="A51" s="21">
        <v>21</v>
      </c>
      <c r="B51">
        <v>2</v>
      </c>
      <c r="C51" s="21">
        <v>2</v>
      </c>
      <c r="D51">
        <v>0.09</v>
      </c>
    </row>
    <row r="52" spans="1:4" x14ac:dyDescent="0.35">
      <c r="A52" s="21">
        <v>21</v>
      </c>
      <c r="B52">
        <v>2</v>
      </c>
      <c r="C52" s="21">
        <v>3</v>
      </c>
      <c r="D52">
        <v>0.09</v>
      </c>
    </row>
    <row r="53" spans="1:4" x14ac:dyDescent="0.35">
      <c r="A53" s="21">
        <v>22</v>
      </c>
      <c r="B53">
        <v>2</v>
      </c>
      <c r="C53" s="21">
        <v>1</v>
      </c>
      <c r="D53">
        <v>1.014</v>
      </c>
    </row>
    <row r="54" spans="1:4" x14ac:dyDescent="0.35">
      <c r="A54" s="21">
        <v>22</v>
      </c>
      <c r="B54">
        <v>2</v>
      </c>
      <c r="C54" s="21">
        <v>2</v>
      </c>
      <c r="D54">
        <v>1.014</v>
      </c>
    </row>
    <row r="55" spans="1:4" x14ac:dyDescent="0.35">
      <c r="A55" s="21">
        <v>22</v>
      </c>
      <c r="B55">
        <v>2</v>
      </c>
      <c r="C55" s="21">
        <v>3</v>
      </c>
      <c r="D55">
        <v>1.014</v>
      </c>
    </row>
    <row r="56" spans="1:4" x14ac:dyDescent="0.35">
      <c r="A56" s="21">
        <v>23</v>
      </c>
      <c r="B56">
        <v>2</v>
      </c>
      <c r="C56" s="21">
        <v>1</v>
      </c>
      <c r="D56" s="6">
        <v>1.714</v>
      </c>
    </row>
    <row r="57" spans="1:4" x14ac:dyDescent="0.35">
      <c r="A57" s="21">
        <v>23</v>
      </c>
      <c r="B57">
        <v>2</v>
      </c>
      <c r="C57" s="21">
        <v>2</v>
      </c>
      <c r="D57" s="6">
        <v>1.714</v>
      </c>
    </row>
    <row r="58" spans="1:4" x14ac:dyDescent="0.35">
      <c r="A58" s="21">
        <v>23</v>
      </c>
      <c r="B58">
        <v>2</v>
      </c>
      <c r="C58" s="21">
        <v>3</v>
      </c>
      <c r="D58" s="6">
        <v>1.714</v>
      </c>
    </row>
    <row r="59" spans="1:4" x14ac:dyDescent="0.35">
      <c r="A59" s="21">
        <v>24</v>
      </c>
      <c r="B59">
        <v>2</v>
      </c>
      <c r="C59" s="21">
        <v>1</v>
      </c>
      <c r="D59" s="6">
        <v>1.5980000000000001</v>
      </c>
    </row>
    <row r="60" spans="1:4" x14ac:dyDescent="0.35">
      <c r="A60" s="21">
        <v>24</v>
      </c>
      <c r="B60">
        <v>2</v>
      </c>
      <c r="C60" s="21">
        <v>2</v>
      </c>
      <c r="D60" s="6">
        <v>1.5980000000000001</v>
      </c>
    </row>
    <row r="61" spans="1:4" x14ac:dyDescent="0.35">
      <c r="A61" s="21">
        <v>24</v>
      </c>
      <c r="B61">
        <v>2</v>
      </c>
      <c r="C61" s="21">
        <v>3</v>
      </c>
      <c r="D61" s="6">
        <v>1.5980000000000001</v>
      </c>
    </row>
    <row r="62" spans="1:4" x14ac:dyDescent="0.35">
      <c r="A62" s="21">
        <v>25</v>
      </c>
      <c r="B62">
        <v>2</v>
      </c>
      <c r="C62" s="21">
        <v>1</v>
      </c>
      <c r="D62">
        <v>0.83199999999999996</v>
      </c>
    </row>
    <row r="63" spans="1:4" x14ac:dyDescent="0.35">
      <c r="A63" s="21">
        <v>25</v>
      </c>
      <c r="B63">
        <v>2</v>
      </c>
      <c r="C63" s="21">
        <v>2</v>
      </c>
      <c r="D63">
        <v>0.83199999999999996</v>
      </c>
    </row>
    <row r="64" spans="1:4" x14ac:dyDescent="0.35">
      <c r="A64" s="21">
        <v>25</v>
      </c>
      <c r="B64">
        <v>2</v>
      </c>
      <c r="C64" s="21">
        <v>3</v>
      </c>
      <c r="D64">
        <v>0.83199999999999996</v>
      </c>
    </row>
    <row r="65" spans="1:4" x14ac:dyDescent="0.35">
      <c r="A65" s="21">
        <v>26</v>
      </c>
      <c r="B65">
        <v>2</v>
      </c>
      <c r="C65" s="21">
        <v>1</v>
      </c>
      <c r="D65" s="6">
        <v>1.28</v>
      </c>
    </row>
    <row r="66" spans="1:4" x14ac:dyDescent="0.35">
      <c r="A66" s="21">
        <v>26</v>
      </c>
      <c r="B66">
        <v>2</v>
      </c>
      <c r="C66" s="21">
        <v>2</v>
      </c>
      <c r="D66" s="6">
        <v>1.28</v>
      </c>
    </row>
    <row r="67" spans="1:4" x14ac:dyDescent="0.35">
      <c r="A67" s="21">
        <v>26</v>
      </c>
      <c r="B67">
        <v>2</v>
      </c>
      <c r="C67" s="21">
        <v>3</v>
      </c>
      <c r="D67" s="6">
        <v>1.28</v>
      </c>
    </row>
    <row r="68" spans="1:4" x14ac:dyDescent="0.35">
      <c r="A68" s="21">
        <v>27</v>
      </c>
      <c r="B68">
        <v>2</v>
      </c>
      <c r="C68" s="21">
        <v>1</v>
      </c>
      <c r="D68" s="6">
        <v>3.32</v>
      </c>
    </row>
    <row r="69" spans="1:4" x14ac:dyDescent="0.35">
      <c r="A69" s="21">
        <v>27</v>
      </c>
      <c r="B69">
        <v>2</v>
      </c>
      <c r="C69" s="21">
        <v>2</v>
      </c>
      <c r="D69" s="6">
        <v>3.32</v>
      </c>
    </row>
    <row r="70" spans="1:4" x14ac:dyDescent="0.35">
      <c r="A70" s="21">
        <v>27</v>
      </c>
      <c r="B70">
        <v>2</v>
      </c>
      <c r="C70" s="21">
        <v>3</v>
      </c>
      <c r="D70" s="6">
        <v>3.32</v>
      </c>
    </row>
    <row r="71" spans="1:4" x14ac:dyDescent="0.35">
      <c r="A71" s="21">
        <v>28</v>
      </c>
      <c r="B71">
        <v>2</v>
      </c>
      <c r="C71" s="21">
        <v>1</v>
      </c>
      <c r="D71" s="7">
        <v>9.1999999999999998E-2</v>
      </c>
    </row>
    <row r="72" spans="1:4" x14ac:dyDescent="0.35">
      <c r="A72" s="21">
        <v>28</v>
      </c>
      <c r="B72">
        <v>2</v>
      </c>
      <c r="C72" s="21">
        <v>2</v>
      </c>
      <c r="D72" s="7">
        <v>9.1999999999999998E-2</v>
      </c>
    </row>
    <row r="73" spans="1:4" x14ac:dyDescent="0.35">
      <c r="A73" s="21">
        <v>28</v>
      </c>
      <c r="B73">
        <v>2</v>
      </c>
      <c r="C73" s="21">
        <v>3</v>
      </c>
      <c r="D73" s="7">
        <v>9.1999999999999998E-2</v>
      </c>
    </row>
    <row r="74" spans="1:4" x14ac:dyDescent="0.35">
      <c r="A74" s="21">
        <v>29</v>
      </c>
      <c r="B74">
        <v>2</v>
      </c>
      <c r="C74" s="21">
        <v>1</v>
      </c>
      <c r="D74" s="7">
        <v>0.51400000000000001</v>
      </c>
    </row>
    <row r="75" spans="1:4" x14ac:dyDescent="0.35">
      <c r="A75" s="21">
        <v>29</v>
      </c>
      <c r="B75">
        <v>2</v>
      </c>
      <c r="C75" s="21">
        <v>2</v>
      </c>
      <c r="D75" s="7">
        <v>0.51400000000000001</v>
      </c>
    </row>
    <row r="76" spans="1:4" x14ac:dyDescent="0.35">
      <c r="A76" s="21">
        <v>29</v>
      </c>
      <c r="B76">
        <v>2</v>
      </c>
      <c r="C76" s="21">
        <v>3</v>
      </c>
      <c r="D76" s="7">
        <v>0.51400000000000001</v>
      </c>
    </row>
    <row r="77" spans="1:4" x14ac:dyDescent="0.35">
      <c r="A77" s="21">
        <v>30</v>
      </c>
      <c r="B77">
        <v>2</v>
      </c>
      <c r="C77" s="21">
        <v>1</v>
      </c>
      <c r="D77" s="7">
        <v>5.81</v>
      </c>
    </row>
    <row r="78" spans="1:4" x14ac:dyDescent="0.35">
      <c r="A78" s="21">
        <v>30</v>
      </c>
      <c r="B78">
        <v>2</v>
      </c>
      <c r="C78" s="21">
        <v>2</v>
      </c>
      <c r="D78" s="7">
        <v>5.81</v>
      </c>
    </row>
    <row r="79" spans="1:4" x14ac:dyDescent="0.35">
      <c r="A79" s="21">
        <v>30</v>
      </c>
      <c r="B79">
        <v>2</v>
      </c>
      <c r="C79" s="21">
        <v>3</v>
      </c>
      <c r="D79" s="7">
        <v>5.81</v>
      </c>
    </row>
    <row r="80" spans="1:4" x14ac:dyDescent="0.35">
      <c r="A80" s="21">
        <v>31</v>
      </c>
      <c r="B80">
        <v>2</v>
      </c>
      <c r="C80" s="21">
        <v>1</v>
      </c>
      <c r="D80" s="7">
        <v>0.14199999999999999</v>
      </c>
    </row>
    <row r="81" spans="1:4" x14ac:dyDescent="0.35">
      <c r="A81" s="21">
        <v>31</v>
      </c>
      <c r="B81">
        <v>2</v>
      </c>
      <c r="C81" s="21">
        <v>2</v>
      </c>
      <c r="D81" s="7">
        <v>0.14199999999999999</v>
      </c>
    </row>
    <row r="82" spans="1:4" x14ac:dyDescent="0.35">
      <c r="A82" s="21">
        <v>31</v>
      </c>
      <c r="B82">
        <v>2</v>
      </c>
      <c r="C82" s="21">
        <v>3</v>
      </c>
      <c r="D82" s="7">
        <v>0.14199999999999999</v>
      </c>
    </row>
    <row r="83" spans="1:4" x14ac:dyDescent="0.35">
      <c r="A83" s="21">
        <v>34</v>
      </c>
      <c r="B83">
        <v>2</v>
      </c>
      <c r="C83" s="21">
        <v>1</v>
      </c>
      <c r="D83" s="7">
        <v>0.26600000000000001</v>
      </c>
    </row>
    <row r="84" spans="1:4" x14ac:dyDescent="0.35">
      <c r="A84" s="21">
        <v>34</v>
      </c>
      <c r="B84">
        <v>2</v>
      </c>
      <c r="C84" s="21">
        <v>2</v>
      </c>
      <c r="D84" s="7">
        <v>0.26600000000000001</v>
      </c>
    </row>
    <row r="85" spans="1:4" x14ac:dyDescent="0.35">
      <c r="A85" s="21">
        <v>34</v>
      </c>
      <c r="B85">
        <v>2</v>
      </c>
      <c r="C85" s="21">
        <v>3</v>
      </c>
      <c r="D85" s="7">
        <v>0.26600000000000001</v>
      </c>
    </row>
    <row r="86" spans="1:4" x14ac:dyDescent="0.35">
      <c r="A86" s="21">
        <v>35</v>
      </c>
      <c r="B86">
        <v>2</v>
      </c>
      <c r="C86" s="21">
        <v>1</v>
      </c>
      <c r="D86" s="7">
        <v>0.11600000000000001</v>
      </c>
    </row>
    <row r="87" spans="1:4" x14ac:dyDescent="0.35">
      <c r="A87" s="21">
        <v>35</v>
      </c>
      <c r="B87">
        <v>2</v>
      </c>
      <c r="C87" s="21">
        <v>2</v>
      </c>
      <c r="D87" s="7">
        <v>0.11600000000000001</v>
      </c>
    </row>
    <row r="88" spans="1:4" x14ac:dyDescent="0.35">
      <c r="A88" s="21">
        <v>35</v>
      </c>
      <c r="B88">
        <v>2</v>
      </c>
      <c r="C88" s="21">
        <v>3</v>
      </c>
      <c r="D88" s="7">
        <v>0.11600000000000001</v>
      </c>
    </row>
    <row r="89" spans="1:4" x14ac:dyDescent="0.35">
      <c r="A89" s="21">
        <v>36</v>
      </c>
      <c r="B89">
        <v>2</v>
      </c>
      <c r="C89" s="21">
        <v>1</v>
      </c>
      <c r="D89">
        <v>4.2000000000000003E-2</v>
      </c>
    </row>
    <row r="90" spans="1:4" x14ac:dyDescent="0.35">
      <c r="A90" s="21">
        <v>36</v>
      </c>
      <c r="B90">
        <v>2</v>
      </c>
      <c r="C90" s="21">
        <v>2</v>
      </c>
      <c r="D90">
        <v>4.2000000000000003E-2</v>
      </c>
    </row>
    <row r="91" spans="1:4" x14ac:dyDescent="0.35">
      <c r="A91" s="21">
        <v>36</v>
      </c>
      <c r="B91">
        <v>2</v>
      </c>
      <c r="C91" s="21">
        <v>3</v>
      </c>
      <c r="D91">
        <v>4.2000000000000003E-2</v>
      </c>
    </row>
    <row r="92" spans="1:4" x14ac:dyDescent="0.35">
      <c r="A92" s="21">
        <v>37</v>
      </c>
      <c r="B92">
        <v>2</v>
      </c>
      <c r="C92" s="21">
        <v>1</v>
      </c>
      <c r="D92" s="6">
        <v>1.3660000000000001</v>
      </c>
    </row>
    <row r="93" spans="1:4" x14ac:dyDescent="0.35">
      <c r="A93" s="21">
        <v>37</v>
      </c>
      <c r="B93">
        <v>2</v>
      </c>
      <c r="C93" s="21">
        <v>2</v>
      </c>
      <c r="D93" s="6">
        <v>1.3660000000000001</v>
      </c>
    </row>
    <row r="94" spans="1:4" x14ac:dyDescent="0.35">
      <c r="A94" s="21">
        <v>37</v>
      </c>
      <c r="B94">
        <v>2</v>
      </c>
      <c r="C94" s="21">
        <v>3</v>
      </c>
      <c r="D94" s="6">
        <v>1.3660000000000001</v>
      </c>
    </row>
    <row r="95" spans="1:4" x14ac:dyDescent="0.35">
      <c r="A95" s="21"/>
      <c r="C95" s="21"/>
      <c r="D95" s="21"/>
    </row>
    <row r="96" spans="1:4" x14ac:dyDescent="0.35">
      <c r="A96" s="21"/>
      <c r="C96" s="21"/>
      <c r="D96" s="21"/>
    </row>
    <row r="97" spans="1:4" x14ac:dyDescent="0.35">
      <c r="A97" s="21"/>
      <c r="C97" s="21"/>
      <c r="D9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9227-2E94-4DD9-A194-7B148F8D04F4}">
  <dimension ref="A1:C40"/>
  <sheetViews>
    <sheetView workbookViewId="0">
      <selection activeCell="B14" sqref="B14"/>
    </sheetView>
  </sheetViews>
  <sheetFormatPr defaultRowHeight="14.5" x14ac:dyDescent="0.35"/>
  <sheetData>
    <row r="1" spans="1:3" x14ac:dyDescent="0.35">
      <c r="A1" t="s">
        <v>50</v>
      </c>
    </row>
    <row r="2" spans="1:3" x14ac:dyDescent="0.35">
      <c r="A2" s="3" t="s">
        <v>30</v>
      </c>
      <c r="B2" s="3" t="s">
        <v>31</v>
      </c>
      <c r="C2" s="3" t="s">
        <v>32</v>
      </c>
    </row>
    <row r="3" spans="1:3" x14ac:dyDescent="0.35">
      <c r="A3" s="3">
        <v>1</v>
      </c>
      <c r="B3" s="3"/>
      <c r="C3" s="5">
        <v>6.6</v>
      </c>
    </row>
    <row r="4" spans="1:3" x14ac:dyDescent="0.35">
      <c r="A4" s="3">
        <v>2</v>
      </c>
      <c r="B4" s="3"/>
      <c r="C4" s="2">
        <v>6.5</v>
      </c>
    </row>
    <row r="5" spans="1:3" x14ac:dyDescent="0.35">
      <c r="A5" s="3">
        <v>3</v>
      </c>
      <c r="B5" s="3"/>
      <c r="C5" s="2">
        <v>7</v>
      </c>
    </row>
    <row r="6" spans="1:3" x14ac:dyDescent="0.35">
      <c r="A6" s="3">
        <v>4</v>
      </c>
      <c r="B6" s="3"/>
      <c r="C6" s="3">
        <v>6.9</v>
      </c>
    </row>
    <row r="7" spans="1:3" x14ac:dyDescent="0.35">
      <c r="A7" s="3">
        <v>5</v>
      </c>
      <c r="B7" s="3"/>
      <c r="C7" s="2">
        <v>4.5</v>
      </c>
    </row>
    <row r="8" spans="1:3" x14ac:dyDescent="0.35">
      <c r="A8" s="3">
        <v>6</v>
      </c>
      <c r="B8" s="3"/>
      <c r="C8" s="5">
        <v>5.2</v>
      </c>
    </row>
    <row r="9" spans="1:3" x14ac:dyDescent="0.35">
      <c r="A9" s="3">
        <v>7</v>
      </c>
      <c r="B9" s="3"/>
      <c r="C9" s="12">
        <v>6.9</v>
      </c>
    </row>
    <row r="10" spans="1:3" x14ac:dyDescent="0.35">
      <c r="A10" s="3">
        <v>8</v>
      </c>
      <c r="B10" s="3"/>
      <c r="C10" s="12">
        <v>6.9</v>
      </c>
    </row>
    <row r="11" spans="1:3" x14ac:dyDescent="0.35">
      <c r="A11" s="3">
        <v>9</v>
      </c>
      <c r="B11" s="3"/>
      <c r="C11" s="3">
        <v>6.8</v>
      </c>
    </row>
    <row r="12" spans="1:3" x14ac:dyDescent="0.35">
      <c r="A12" s="3">
        <v>10</v>
      </c>
      <c r="B12" s="3"/>
      <c r="C12" s="3">
        <v>4.5</v>
      </c>
    </row>
    <row r="13" spans="1:3" x14ac:dyDescent="0.35">
      <c r="A13" s="3">
        <v>11</v>
      </c>
      <c r="B13" s="3"/>
      <c r="C13" s="3">
        <v>6.7</v>
      </c>
    </row>
    <row r="14" spans="1:3" x14ac:dyDescent="0.35">
      <c r="A14" s="3">
        <v>12</v>
      </c>
      <c r="B14" s="3"/>
      <c r="C14" s="5">
        <v>7</v>
      </c>
    </row>
    <row r="15" spans="1:3" x14ac:dyDescent="0.35">
      <c r="A15" s="3">
        <v>13</v>
      </c>
      <c r="B15" s="3"/>
      <c r="C15" s="3">
        <v>6.1</v>
      </c>
    </row>
    <row r="16" spans="1:3" x14ac:dyDescent="0.35">
      <c r="A16" s="3">
        <v>14</v>
      </c>
      <c r="B16" s="3"/>
      <c r="C16" s="3">
        <v>4.5</v>
      </c>
    </row>
    <row r="17" spans="1:3" x14ac:dyDescent="0.35">
      <c r="A17" s="3">
        <v>15</v>
      </c>
      <c r="B17" s="3">
        <v>4.5</v>
      </c>
      <c r="C17" s="3"/>
    </row>
    <row r="18" spans="1:3" x14ac:dyDescent="0.35">
      <c r="A18" s="3">
        <v>16</v>
      </c>
      <c r="B18" s="3">
        <v>4.9000000000000004</v>
      </c>
      <c r="C18" s="3"/>
    </row>
    <row r="19" spans="1:3" x14ac:dyDescent="0.35">
      <c r="A19" s="3">
        <v>17</v>
      </c>
      <c r="B19" s="3">
        <v>4.5</v>
      </c>
      <c r="C19" s="3"/>
    </row>
    <row r="20" spans="1:3" x14ac:dyDescent="0.35">
      <c r="A20" s="3">
        <v>18</v>
      </c>
      <c r="B20" s="3">
        <v>6.7</v>
      </c>
      <c r="C20" s="3"/>
    </row>
    <row r="21" spans="1:3" x14ac:dyDescent="0.35">
      <c r="A21" s="3">
        <v>19</v>
      </c>
      <c r="B21" s="3">
        <v>6.1</v>
      </c>
      <c r="C21" s="3"/>
    </row>
    <row r="22" spans="1:3" x14ac:dyDescent="0.35">
      <c r="A22" s="3">
        <v>20</v>
      </c>
      <c r="B22" s="5">
        <v>5.5</v>
      </c>
      <c r="C22" s="3"/>
    </row>
    <row r="23" spans="1:3" x14ac:dyDescent="0.35">
      <c r="A23" s="3">
        <v>21</v>
      </c>
      <c r="B23" s="3">
        <v>5.2</v>
      </c>
      <c r="C23" s="3"/>
    </row>
    <row r="24" spans="1:3" x14ac:dyDescent="0.35">
      <c r="A24" s="3">
        <v>22</v>
      </c>
      <c r="B24" s="4">
        <v>4.5</v>
      </c>
      <c r="C24" s="3"/>
    </row>
    <row r="25" spans="1:3" x14ac:dyDescent="0.35">
      <c r="A25" s="3">
        <v>23</v>
      </c>
      <c r="B25" s="3">
        <v>4.5</v>
      </c>
      <c r="C25" s="3"/>
    </row>
    <row r="26" spans="1:3" x14ac:dyDescent="0.35">
      <c r="A26" s="3">
        <v>24</v>
      </c>
      <c r="B26" s="3">
        <v>4.5</v>
      </c>
      <c r="C26" s="3"/>
    </row>
    <row r="27" spans="1:3" x14ac:dyDescent="0.35">
      <c r="A27" s="3">
        <v>25</v>
      </c>
      <c r="B27" s="3">
        <v>4.5</v>
      </c>
      <c r="C27" s="3"/>
    </row>
    <row r="28" spans="1:3" x14ac:dyDescent="0.35">
      <c r="A28" s="3">
        <v>26</v>
      </c>
      <c r="B28" s="2">
        <v>4.5</v>
      </c>
      <c r="C28" s="3"/>
    </row>
    <row r="29" spans="1:3" x14ac:dyDescent="0.35">
      <c r="A29" s="3">
        <v>27</v>
      </c>
      <c r="B29" s="5">
        <v>4.5</v>
      </c>
      <c r="C29" s="3"/>
    </row>
    <row r="30" spans="1:3" x14ac:dyDescent="0.35">
      <c r="A30" s="3">
        <v>28</v>
      </c>
      <c r="B30" s="5">
        <v>4.5999999999999996</v>
      </c>
      <c r="C30" s="3"/>
    </row>
    <row r="31" spans="1:3" x14ac:dyDescent="0.35">
      <c r="A31" s="3">
        <v>29</v>
      </c>
      <c r="B31" s="2">
        <v>5.2</v>
      </c>
      <c r="C31" s="3"/>
    </row>
    <row r="32" spans="1:3" x14ac:dyDescent="0.35">
      <c r="A32" s="3">
        <v>30</v>
      </c>
      <c r="B32" s="5">
        <v>6.5</v>
      </c>
      <c r="C32" s="3"/>
    </row>
    <row r="33" spans="1:3" x14ac:dyDescent="0.35">
      <c r="A33" s="3">
        <v>31</v>
      </c>
      <c r="B33" s="12">
        <v>6.9</v>
      </c>
      <c r="C33" s="3"/>
    </row>
    <row r="34" spans="1:3" x14ac:dyDescent="0.35">
      <c r="A34" s="3">
        <v>32</v>
      </c>
      <c r="B34" s="12">
        <v>4.5</v>
      </c>
      <c r="C34" s="3"/>
    </row>
    <row r="35" spans="1:3" x14ac:dyDescent="0.35">
      <c r="A35" s="3">
        <v>33</v>
      </c>
      <c r="B35" s="3">
        <v>5.0999999999999996</v>
      </c>
      <c r="C35" s="3"/>
    </row>
    <row r="36" spans="1:3" x14ac:dyDescent="0.35">
      <c r="A36" s="3">
        <v>34</v>
      </c>
      <c r="B36" s="3">
        <v>5.6</v>
      </c>
      <c r="C36" s="3"/>
    </row>
    <row r="37" spans="1:3" x14ac:dyDescent="0.35">
      <c r="A37" s="3">
        <v>35</v>
      </c>
      <c r="B37" s="3">
        <v>4.5</v>
      </c>
      <c r="C37" s="3"/>
    </row>
    <row r="38" spans="1:3" x14ac:dyDescent="0.35">
      <c r="A38" s="3">
        <v>36</v>
      </c>
      <c r="B38" s="3">
        <v>6.3</v>
      </c>
      <c r="C38" s="3"/>
    </row>
    <row r="39" spans="1:3" x14ac:dyDescent="0.35">
      <c r="A39" s="3">
        <v>37</v>
      </c>
      <c r="B39" s="3">
        <v>4.5</v>
      </c>
      <c r="C39" s="3"/>
    </row>
    <row r="40" spans="1:3" x14ac:dyDescent="0.35">
      <c r="A40" s="3">
        <v>38</v>
      </c>
      <c r="B40" s="3">
        <v>4.5</v>
      </c>
      <c r="C40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557E-FCE1-4925-BED7-DE6824E44A47}">
  <dimension ref="A1:U116"/>
  <sheetViews>
    <sheetView topLeftCell="H1" workbookViewId="0">
      <selection activeCell="O13" sqref="O13"/>
    </sheetView>
  </sheetViews>
  <sheetFormatPr defaultRowHeight="14.5" x14ac:dyDescent="0.35"/>
  <cols>
    <col min="6" max="6" width="13.7265625" customWidth="1"/>
    <col min="10" max="10" width="10.6328125" bestFit="1" customWidth="1"/>
    <col min="11" max="11" width="15.90625" bestFit="1" customWidth="1"/>
    <col min="12" max="12" width="29.6328125" bestFit="1" customWidth="1"/>
    <col min="13" max="13" width="22.54296875" bestFit="1" customWidth="1"/>
    <col min="14" max="14" width="3.81640625" bestFit="1" customWidth="1"/>
    <col min="15" max="15" width="10" bestFit="1" customWidth="1"/>
    <col min="16" max="16" width="10.54296875" bestFit="1" customWidth="1"/>
    <col min="17" max="17" width="8.36328125" bestFit="1" customWidth="1"/>
    <col min="18" max="18" width="7.36328125" bestFit="1" customWidth="1"/>
  </cols>
  <sheetData>
    <row r="1" spans="1:20" ht="29" x14ac:dyDescent="0.35">
      <c r="A1" s="22" t="s">
        <v>30</v>
      </c>
      <c r="B1" t="str">
        <f>F1</f>
        <v>Mining_status</v>
      </c>
      <c r="C1" s="22" t="s">
        <v>52</v>
      </c>
      <c r="D1" s="22" t="s">
        <v>53</v>
      </c>
      <c r="F1" s="23" t="s">
        <v>51</v>
      </c>
      <c r="J1" s="3" t="s">
        <v>139</v>
      </c>
      <c r="K1" s="3" t="s">
        <v>137</v>
      </c>
      <c r="L1" s="3" t="s">
        <v>140</v>
      </c>
      <c r="M1" s="3" t="s">
        <v>143</v>
      </c>
      <c r="N1" s="3" t="s">
        <v>144</v>
      </c>
      <c r="O1" s="3" t="s">
        <v>145</v>
      </c>
      <c r="P1" s="3" t="s">
        <v>146</v>
      </c>
      <c r="Q1" s="3" t="s">
        <v>147</v>
      </c>
      <c r="R1" s="3" t="s">
        <v>148</v>
      </c>
      <c r="S1" s="3" t="s">
        <v>161</v>
      </c>
      <c r="T1" s="3" t="s">
        <v>162</v>
      </c>
    </row>
    <row r="2" spans="1:20" x14ac:dyDescent="0.35">
      <c r="A2" s="21">
        <v>1</v>
      </c>
      <c r="B2">
        <v>1</v>
      </c>
      <c r="C2" s="21">
        <v>1</v>
      </c>
      <c r="D2" s="21">
        <v>6.6</v>
      </c>
      <c r="F2" s="24" t="s">
        <v>32</v>
      </c>
      <c r="J2" s="42" t="s">
        <v>138</v>
      </c>
      <c r="K2" s="41" t="s">
        <v>29</v>
      </c>
      <c r="L2" s="3" t="s">
        <v>149</v>
      </c>
      <c r="M2" s="3" t="s">
        <v>30</v>
      </c>
      <c r="N2" s="3">
        <v>4</v>
      </c>
      <c r="O2" s="26">
        <v>67.33475</v>
      </c>
      <c r="P2" s="26">
        <v>-28.448191999999999</v>
      </c>
      <c r="Q2" s="3" t="s">
        <v>152</v>
      </c>
      <c r="R2" s="3" t="s">
        <v>154</v>
      </c>
      <c r="S2" s="3"/>
      <c r="T2" s="3"/>
    </row>
    <row r="3" spans="1:20" x14ac:dyDescent="0.35">
      <c r="A3" s="21">
        <v>1</v>
      </c>
      <c r="B3">
        <v>1</v>
      </c>
      <c r="C3" s="21">
        <v>2</v>
      </c>
      <c r="D3" s="21">
        <v>6.5</v>
      </c>
      <c r="F3" s="24" t="s">
        <v>32</v>
      </c>
      <c r="J3" s="43"/>
      <c r="K3" s="41"/>
      <c r="L3" s="3" t="s">
        <v>141</v>
      </c>
      <c r="M3" s="3" t="s">
        <v>142</v>
      </c>
      <c r="N3" s="3">
        <v>5</v>
      </c>
      <c r="O3" s="26">
        <v>289.21530000000001</v>
      </c>
      <c r="P3" s="26">
        <v>-139.60765000000001</v>
      </c>
      <c r="Q3" s="18" t="s">
        <v>153</v>
      </c>
      <c r="R3" s="3" t="s">
        <v>154</v>
      </c>
      <c r="S3" s="3"/>
      <c r="T3" s="3"/>
    </row>
    <row r="4" spans="1:20" x14ac:dyDescent="0.35">
      <c r="A4" s="21">
        <v>1</v>
      </c>
      <c r="B4">
        <v>1</v>
      </c>
      <c r="C4" s="21">
        <v>3</v>
      </c>
      <c r="D4" s="21">
        <v>6.7</v>
      </c>
      <c r="F4" s="24" t="s">
        <v>32</v>
      </c>
      <c r="J4" s="43"/>
      <c r="K4" s="41"/>
      <c r="L4" s="3" t="s">
        <v>150</v>
      </c>
      <c r="M4" s="3"/>
      <c r="N4" s="3">
        <v>3</v>
      </c>
      <c r="O4" s="26">
        <v>80.124930000000006</v>
      </c>
      <c r="P4" s="26">
        <v>-37.062463000000001</v>
      </c>
      <c r="Q4" s="3" t="s">
        <v>151</v>
      </c>
      <c r="R4" s="3" t="s">
        <v>151</v>
      </c>
      <c r="S4" s="3"/>
      <c r="T4" s="3"/>
    </row>
    <row r="5" spans="1:20" x14ac:dyDescent="0.35">
      <c r="A5" s="21">
        <v>2</v>
      </c>
      <c r="B5">
        <v>1</v>
      </c>
      <c r="C5" s="21">
        <v>1</v>
      </c>
      <c r="D5" s="21">
        <v>7</v>
      </c>
      <c r="F5" s="24" t="s">
        <v>32</v>
      </c>
      <c r="J5" s="43"/>
      <c r="K5" s="42" t="s">
        <v>155</v>
      </c>
      <c r="L5" s="3" t="s">
        <v>149</v>
      </c>
      <c r="M5" s="3" t="s">
        <v>30</v>
      </c>
      <c r="N5" s="39">
        <v>3</v>
      </c>
      <c r="O5" s="26">
        <v>-2491.5160000000001</v>
      </c>
      <c r="P5" s="26">
        <v>1248.7579000000001</v>
      </c>
      <c r="Q5" s="18" t="s">
        <v>158</v>
      </c>
      <c r="R5" s="3" t="s">
        <v>154</v>
      </c>
      <c r="S5" s="3"/>
      <c r="T5" s="3"/>
    </row>
    <row r="6" spans="1:20" x14ac:dyDescent="0.35">
      <c r="A6" s="21">
        <v>2</v>
      </c>
      <c r="B6">
        <v>1</v>
      </c>
      <c r="C6" s="21">
        <v>2</v>
      </c>
      <c r="D6" s="21">
        <v>7</v>
      </c>
      <c r="F6" s="24" t="s">
        <v>32</v>
      </c>
      <c r="J6" s="43"/>
      <c r="K6" s="43"/>
      <c r="L6" s="3" t="s">
        <v>141</v>
      </c>
      <c r="M6" s="3" t="s">
        <v>142</v>
      </c>
      <c r="N6" s="39">
        <v>5</v>
      </c>
      <c r="O6" s="26">
        <v>290.81979999999999</v>
      </c>
      <c r="P6" s="26">
        <v>-140.40988999999999</v>
      </c>
      <c r="Q6" s="3" t="s">
        <v>153</v>
      </c>
      <c r="R6" s="3" t="s">
        <v>154</v>
      </c>
      <c r="S6" s="3"/>
      <c r="T6" s="3"/>
    </row>
    <row r="7" spans="1:20" x14ac:dyDescent="0.35">
      <c r="A7" s="21"/>
      <c r="C7" s="21"/>
      <c r="D7" s="21"/>
      <c r="F7" s="24"/>
      <c r="J7" s="44"/>
      <c r="K7" s="44"/>
      <c r="L7" s="3" t="s">
        <v>150</v>
      </c>
      <c r="M7" s="3"/>
      <c r="N7" s="39">
        <v>2</v>
      </c>
      <c r="O7" s="26">
        <v>-2483.0169999999998</v>
      </c>
      <c r="P7" s="26">
        <v>1452.4056</v>
      </c>
      <c r="Q7" s="3" t="s">
        <v>151</v>
      </c>
      <c r="R7" s="3" t="s">
        <v>151</v>
      </c>
      <c r="S7" s="3"/>
      <c r="T7" s="3"/>
    </row>
    <row r="8" spans="1:20" x14ac:dyDescent="0.35">
      <c r="A8" s="21">
        <v>2</v>
      </c>
      <c r="B8">
        <v>1</v>
      </c>
      <c r="C8" s="21">
        <v>3</v>
      </c>
      <c r="D8" s="21">
        <v>7</v>
      </c>
      <c r="F8" s="24" t="s">
        <v>32</v>
      </c>
      <c r="J8" s="42" t="s">
        <v>37</v>
      </c>
      <c r="K8" s="42" t="s">
        <v>29</v>
      </c>
      <c r="L8" s="3" t="s">
        <v>149</v>
      </c>
      <c r="S8" s="3"/>
      <c r="T8" s="3"/>
    </row>
    <row r="9" spans="1:20" x14ac:dyDescent="0.35">
      <c r="A9" s="21">
        <v>3</v>
      </c>
      <c r="B9">
        <v>1</v>
      </c>
      <c r="C9" s="21">
        <v>1</v>
      </c>
      <c r="D9" s="21">
        <v>7</v>
      </c>
      <c r="F9" s="24" t="s">
        <v>32</v>
      </c>
      <c r="J9" s="43"/>
      <c r="K9" s="43"/>
      <c r="L9" s="3" t="s">
        <v>141</v>
      </c>
      <c r="M9" s="3"/>
      <c r="N9" s="3"/>
      <c r="O9" s="3"/>
      <c r="P9" s="3"/>
      <c r="Q9" s="3"/>
      <c r="R9" s="3"/>
      <c r="S9" s="3"/>
      <c r="T9" s="3"/>
    </row>
    <row r="10" spans="1:20" x14ac:dyDescent="0.35">
      <c r="A10" s="21">
        <v>3</v>
      </c>
      <c r="B10">
        <v>1</v>
      </c>
      <c r="C10" s="21">
        <v>2</v>
      </c>
      <c r="D10" s="21">
        <v>7</v>
      </c>
      <c r="F10" s="24" t="s">
        <v>32</v>
      </c>
      <c r="J10" s="43"/>
      <c r="K10" s="44"/>
      <c r="L10" s="3" t="s">
        <v>150</v>
      </c>
      <c r="M10" s="3"/>
      <c r="N10" s="3"/>
      <c r="O10" s="3"/>
      <c r="P10" s="3"/>
      <c r="Q10" s="3"/>
      <c r="R10" s="3"/>
      <c r="S10" s="3"/>
      <c r="T10" s="3"/>
    </row>
    <row r="11" spans="1:20" x14ac:dyDescent="0.35">
      <c r="A11" s="21">
        <v>3</v>
      </c>
      <c r="B11">
        <v>1</v>
      </c>
      <c r="C11" s="21">
        <v>3</v>
      </c>
      <c r="D11" s="21">
        <v>7</v>
      </c>
      <c r="F11" s="24" t="s">
        <v>32</v>
      </c>
      <c r="J11" s="43"/>
      <c r="K11" s="42" t="s">
        <v>159</v>
      </c>
      <c r="L11" s="3" t="s">
        <v>149</v>
      </c>
      <c r="M11" s="3" t="s">
        <v>30</v>
      </c>
      <c r="N11" s="3">
        <v>4</v>
      </c>
      <c r="O11" s="3">
        <v>-1529.058</v>
      </c>
      <c r="P11" s="3">
        <v>768.52913000000001</v>
      </c>
      <c r="Q11" s="3"/>
      <c r="R11" s="3"/>
      <c r="S11" s="3"/>
      <c r="T11" s="3"/>
    </row>
    <row r="12" spans="1:20" x14ac:dyDescent="0.35">
      <c r="A12" s="21">
        <v>4</v>
      </c>
      <c r="B12">
        <v>1</v>
      </c>
      <c r="C12" s="21">
        <v>1</v>
      </c>
      <c r="D12" s="21">
        <v>6.9</v>
      </c>
      <c r="F12" s="24" t="s">
        <v>32</v>
      </c>
      <c r="J12" s="43"/>
      <c r="K12" s="43"/>
      <c r="L12" s="3" t="s">
        <v>141</v>
      </c>
      <c r="M12" s="3" t="s">
        <v>142</v>
      </c>
      <c r="N12" s="3">
        <v>5</v>
      </c>
      <c r="O12" s="3">
        <v>1069.29</v>
      </c>
      <c r="P12" s="3">
        <v>-529.64481999999998</v>
      </c>
      <c r="Q12" s="3"/>
      <c r="R12" s="3"/>
      <c r="S12" s="3"/>
      <c r="T12" s="3"/>
    </row>
    <row r="13" spans="1:20" x14ac:dyDescent="0.35">
      <c r="A13" s="21">
        <v>4</v>
      </c>
      <c r="B13">
        <v>1</v>
      </c>
      <c r="C13" s="21">
        <v>2</v>
      </c>
      <c r="D13" s="21">
        <v>6.8</v>
      </c>
      <c r="F13" s="24" t="s">
        <v>32</v>
      </c>
      <c r="J13" s="43"/>
      <c r="K13" s="44"/>
      <c r="L13" s="3" t="s">
        <v>150</v>
      </c>
      <c r="M13" s="3"/>
      <c r="N13" s="3"/>
      <c r="O13" s="3"/>
      <c r="P13" s="3"/>
      <c r="Q13" s="3"/>
      <c r="R13" s="3"/>
      <c r="S13" s="3"/>
      <c r="T13" s="3"/>
    </row>
    <row r="14" spans="1:20" x14ac:dyDescent="0.35">
      <c r="A14" s="21">
        <v>4</v>
      </c>
      <c r="B14">
        <v>1</v>
      </c>
      <c r="C14" s="21">
        <v>3</v>
      </c>
      <c r="D14" s="21">
        <v>6.7</v>
      </c>
      <c r="F14" s="24" t="s">
        <v>32</v>
      </c>
      <c r="J14" s="43"/>
      <c r="K14" s="42" t="s">
        <v>160</v>
      </c>
      <c r="L14" s="3" t="s">
        <v>149</v>
      </c>
      <c r="M14" s="3"/>
      <c r="N14" s="3"/>
      <c r="O14" s="3"/>
      <c r="P14" s="3"/>
      <c r="Q14" s="3"/>
      <c r="R14" s="3"/>
      <c r="S14" s="3"/>
      <c r="T14" s="3"/>
    </row>
    <row r="15" spans="1:20" x14ac:dyDescent="0.35">
      <c r="A15" s="21">
        <v>5</v>
      </c>
      <c r="B15">
        <v>1</v>
      </c>
      <c r="C15" s="21">
        <v>1</v>
      </c>
      <c r="D15" s="21">
        <v>5</v>
      </c>
      <c r="F15" s="24" t="s">
        <v>32</v>
      </c>
      <c r="J15" s="43"/>
      <c r="K15" s="43"/>
      <c r="L15" s="3" t="s">
        <v>141</v>
      </c>
      <c r="M15" s="3"/>
      <c r="N15" s="3"/>
      <c r="O15" s="3"/>
      <c r="P15" s="3"/>
      <c r="Q15" s="3"/>
      <c r="R15" s="3"/>
      <c r="S15" s="3"/>
      <c r="T15" s="3"/>
    </row>
    <row r="16" spans="1:20" x14ac:dyDescent="0.35">
      <c r="A16" s="21">
        <v>5</v>
      </c>
      <c r="B16">
        <v>1</v>
      </c>
      <c r="C16" s="21">
        <v>2</v>
      </c>
      <c r="D16" s="21">
        <v>6</v>
      </c>
      <c r="F16" s="24" t="s">
        <v>32</v>
      </c>
      <c r="J16" s="44"/>
      <c r="K16" s="44"/>
      <c r="L16" s="31" t="s">
        <v>150</v>
      </c>
      <c r="M16" s="31"/>
      <c r="N16" s="31"/>
      <c r="O16" s="31"/>
      <c r="P16" s="31"/>
      <c r="Q16" s="31"/>
      <c r="R16" s="31"/>
      <c r="S16" s="31"/>
      <c r="T16" s="31"/>
    </row>
    <row r="17" spans="1:21" x14ac:dyDescent="0.35">
      <c r="A17" s="21">
        <v>5</v>
      </c>
      <c r="B17">
        <v>1</v>
      </c>
      <c r="C17" s="21">
        <v>3</v>
      </c>
      <c r="D17" s="21">
        <v>5</v>
      </c>
      <c r="F17" s="24" t="s">
        <v>32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x14ac:dyDescent="0.35">
      <c r="A18" s="21">
        <v>6</v>
      </c>
      <c r="B18">
        <v>1</v>
      </c>
      <c r="C18" s="21">
        <v>1</v>
      </c>
      <c r="D18" s="21">
        <v>5.2</v>
      </c>
      <c r="F18" s="24" t="s">
        <v>32</v>
      </c>
    </row>
    <row r="19" spans="1:21" x14ac:dyDescent="0.35">
      <c r="A19" s="21">
        <v>6</v>
      </c>
      <c r="B19">
        <v>1</v>
      </c>
      <c r="C19" s="21">
        <v>2</v>
      </c>
      <c r="D19" s="21">
        <v>5.3</v>
      </c>
      <c r="F19" s="24" t="s">
        <v>32</v>
      </c>
    </row>
    <row r="20" spans="1:21" x14ac:dyDescent="0.35">
      <c r="A20" s="21">
        <v>6</v>
      </c>
      <c r="B20">
        <v>1</v>
      </c>
      <c r="C20" s="21">
        <v>3</v>
      </c>
      <c r="D20" s="21">
        <v>5.3</v>
      </c>
      <c r="F20" s="24" t="s">
        <v>32</v>
      </c>
    </row>
    <row r="21" spans="1:21" x14ac:dyDescent="0.35">
      <c r="A21" s="21">
        <v>7</v>
      </c>
      <c r="B21">
        <v>1</v>
      </c>
      <c r="C21" s="21">
        <v>1</v>
      </c>
      <c r="D21" s="21">
        <v>6.9</v>
      </c>
      <c r="F21" s="24" t="s">
        <v>32</v>
      </c>
    </row>
    <row r="22" spans="1:21" x14ac:dyDescent="0.35">
      <c r="A22" s="21">
        <v>7</v>
      </c>
      <c r="B22">
        <v>1</v>
      </c>
      <c r="C22" s="21">
        <v>2</v>
      </c>
      <c r="D22" s="21">
        <v>6.9</v>
      </c>
      <c r="F22" s="24" t="s">
        <v>32</v>
      </c>
    </row>
    <row r="23" spans="1:21" x14ac:dyDescent="0.35">
      <c r="A23" s="21">
        <v>7</v>
      </c>
      <c r="B23">
        <v>1</v>
      </c>
      <c r="C23" s="21">
        <v>3</v>
      </c>
      <c r="D23" s="21">
        <v>6.9</v>
      </c>
      <c r="F23" s="24" t="s">
        <v>32</v>
      </c>
    </row>
    <row r="24" spans="1:21" x14ac:dyDescent="0.35">
      <c r="A24" s="21">
        <v>8</v>
      </c>
      <c r="B24">
        <v>1</v>
      </c>
      <c r="C24" s="21">
        <v>1</v>
      </c>
      <c r="D24" s="21">
        <v>6.8</v>
      </c>
      <c r="F24" s="24" t="s">
        <v>32</v>
      </c>
    </row>
    <row r="25" spans="1:21" x14ac:dyDescent="0.35">
      <c r="A25" s="21">
        <v>8</v>
      </c>
      <c r="B25">
        <v>1</v>
      </c>
      <c r="C25" s="21">
        <v>2</v>
      </c>
      <c r="D25" s="21">
        <v>6.9</v>
      </c>
      <c r="F25" s="24" t="s">
        <v>32</v>
      </c>
    </row>
    <row r="26" spans="1:21" x14ac:dyDescent="0.35">
      <c r="A26" s="21">
        <v>8</v>
      </c>
      <c r="B26">
        <v>1</v>
      </c>
      <c r="C26" s="21">
        <v>3</v>
      </c>
      <c r="D26" s="21">
        <v>7</v>
      </c>
      <c r="F26" s="24" t="s">
        <v>32</v>
      </c>
    </row>
    <row r="27" spans="1:21" x14ac:dyDescent="0.35">
      <c r="A27" s="21">
        <v>9</v>
      </c>
      <c r="B27">
        <v>1</v>
      </c>
      <c r="C27" s="21">
        <v>1</v>
      </c>
      <c r="D27" s="21">
        <v>6.8</v>
      </c>
      <c r="F27" s="24" t="s">
        <v>32</v>
      </c>
    </row>
    <row r="28" spans="1:21" x14ac:dyDescent="0.35">
      <c r="A28" s="21">
        <v>9</v>
      </c>
      <c r="B28">
        <v>1</v>
      </c>
      <c r="C28" s="21">
        <v>2</v>
      </c>
      <c r="D28" s="21">
        <v>6.8</v>
      </c>
      <c r="F28" s="24" t="s">
        <v>32</v>
      </c>
    </row>
    <row r="29" spans="1:21" x14ac:dyDescent="0.35">
      <c r="A29" s="21">
        <v>9</v>
      </c>
      <c r="B29">
        <v>1</v>
      </c>
      <c r="C29" s="21">
        <v>3</v>
      </c>
      <c r="D29" s="21">
        <v>6.8</v>
      </c>
      <c r="F29" s="24" t="s">
        <v>32</v>
      </c>
    </row>
    <row r="30" spans="1:21" x14ac:dyDescent="0.35">
      <c r="A30" s="21">
        <v>10</v>
      </c>
      <c r="B30">
        <v>1</v>
      </c>
      <c r="C30" s="21">
        <v>1</v>
      </c>
      <c r="D30" s="21">
        <v>4.5</v>
      </c>
      <c r="F30" s="24" t="s">
        <v>32</v>
      </c>
    </row>
    <row r="31" spans="1:21" x14ac:dyDescent="0.35">
      <c r="A31" s="21">
        <v>10</v>
      </c>
      <c r="B31">
        <v>1</v>
      </c>
      <c r="C31" s="21">
        <v>2</v>
      </c>
      <c r="D31" s="21">
        <v>4.8</v>
      </c>
      <c r="F31" s="24" t="s">
        <v>32</v>
      </c>
    </row>
    <row r="32" spans="1:21" x14ac:dyDescent="0.35">
      <c r="A32" s="21">
        <v>10</v>
      </c>
      <c r="B32">
        <v>1</v>
      </c>
      <c r="C32" s="21">
        <v>3</v>
      </c>
      <c r="D32" s="21">
        <v>4.8</v>
      </c>
      <c r="F32" s="24" t="s">
        <v>32</v>
      </c>
    </row>
    <row r="33" spans="1:6" x14ac:dyDescent="0.35">
      <c r="A33" s="21">
        <v>11</v>
      </c>
      <c r="B33">
        <v>1</v>
      </c>
      <c r="C33" s="21">
        <v>1</v>
      </c>
      <c r="D33" s="21">
        <v>6.7</v>
      </c>
      <c r="F33" s="24" t="s">
        <v>32</v>
      </c>
    </row>
    <row r="34" spans="1:6" x14ac:dyDescent="0.35">
      <c r="A34" s="21">
        <v>11</v>
      </c>
      <c r="B34">
        <v>1</v>
      </c>
      <c r="C34" s="21">
        <v>2</v>
      </c>
      <c r="D34" s="21">
        <v>6.8</v>
      </c>
      <c r="F34" s="24" t="s">
        <v>32</v>
      </c>
    </row>
    <row r="35" spans="1:6" x14ac:dyDescent="0.35">
      <c r="A35" s="21">
        <v>11</v>
      </c>
      <c r="B35">
        <v>1</v>
      </c>
      <c r="C35" s="21">
        <v>3</v>
      </c>
      <c r="D35" s="21">
        <v>6.9</v>
      </c>
      <c r="F35" s="24" t="s">
        <v>32</v>
      </c>
    </row>
    <row r="36" spans="1:6" x14ac:dyDescent="0.35">
      <c r="A36" s="21">
        <v>12</v>
      </c>
      <c r="B36">
        <v>1</v>
      </c>
      <c r="C36" s="21">
        <v>1</v>
      </c>
      <c r="D36" s="21">
        <v>7</v>
      </c>
      <c r="F36" s="24" t="s">
        <v>32</v>
      </c>
    </row>
    <row r="37" spans="1:6" x14ac:dyDescent="0.35">
      <c r="A37" s="21">
        <v>12</v>
      </c>
      <c r="B37">
        <v>1</v>
      </c>
      <c r="C37" s="21">
        <v>2</v>
      </c>
      <c r="D37" s="21">
        <v>7</v>
      </c>
      <c r="F37" s="24" t="s">
        <v>32</v>
      </c>
    </row>
    <row r="38" spans="1:6" x14ac:dyDescent="0.35">
      <c r="A38" s="21">
        <v>12</v>
      </c>
      <c r="B38">
        <v>1</v>
      </c>
      <c r="C38" s="21">
        <v>3</v>
      </c>
      <c r="D38" s="21">
        <v>7</v>
      </c>
      <c r="F38" s="24" t="s">
        <v>32</v>
      </c>
    </row>
    <row r="39" spans="1:6" x14ac:dyDescent="0.35">
      <c r="A39" s="21">
        <v>13</v>
      </c>
      <c r="B39">
        <v>1</v>
      </c>
      <c r="C39" s="21">
        <v>1</v>
      </c>
      <c r="D39" s="21">
        <v>6.1</v>
      </c>
      <c r="F39" s="24" t="s">
        <v>32</v>
      </c>
    </row>
    <row r="40" spans="1:6" x14ac:dyDescent="0.35">
      <c r="A40" s="21">
        <v>13</v>
      </c>
      <c r="B40">
        <v>1</v>
      </c>
      <c r="C40" s="21">
        <v>2</v>
      </c>
      <c r="D40" s="21">
        <v>6.1</v>
      </c>
      <c r="F40" s="24" t="s">
        <v>32</v>
      </c>
    </row>
    <row r="41" spans="1:6" x14ac:dyDescent="0.35">
      <c r="A41" s="21">
        <v>13</v>
      </c>
      <c r="B41">
        <v>1</v>
      </c>
      <c r="C41" s="21">
        <v>3</v>
      </c>
      <c r="D41" s="21">
        <v>6.1</v>
      </c>
      <c r="F41" s="24" t="s">
        <v>32</v>
      </c>
    </row>
    <row r="42" spans="1:6" x14ac:dyDescent="0.35">
      <c r="A42" s="21">
        <v>14</v>
      </c>
      <c r="B42">
        <v>1</v>
      </c>
      <c r="C42" s="21">
        <v>1</v>
      </c>
      <c r="D42" s="21">
        <v>4.5</v>
      </c>
      <c r="F42" s="24" t="s">
        <v>32</v>
      </c>
    </row>
    <row r="43" spans="1:6" x14ac:dyDescent="0.35">
      <c r="A43" s="21">
        <v>14</v>
      </c>
      <c r="B43">
        <v>1</v>
      </c>
      <c r="C43" s="21">
        <v>2</v>
      </c>
      <c r="D43" s="21">
        <v>4.5999999999999996</v>
      </c>
      <c r="F43" s="24" t="s">
        <v>32</v>
      </c>
    </row>
    <row r="44" spans="1:6" x14ac:dyDescent="0.35">
      <c r="A44" s="21">
        <v>14</v>
      </c>
      <c r="B44">
        <v>1</v>
      </c>
      <c r="C44" s="21">
        <v>3</v>
      </c>
      <c r="D44" s="21">
        <v>4.5999999999999996</v>
      </c>
      <c r="F44" s="24" t="s">
        <v>32</v>
      </c>
    </row>
    <row r="45" spans="1:6" x14ac:dyDescent="0.35">
      <c r="A45" s="21">
        <v>15</v>
      </c>
      <c r="B45">
        <v>2</v>
      </c>
      <c r="C45" s="21">
        <v>1</v>
      </c>
      <c r="D45" s="21">
        <v>4.5</v>
      </c>
      <c r="F45" s="24" t="s">
        <v>31</v>
      </c>
    </row>
    <row r="46" spans="1:6" x14ac:dyDescent="0.35">
      <c r="A46" s="21">
        <v>15</v>
      </c>
      <c r="B46">
        <v>2</v>
      </c>
      <c r="C46" s="21">
        <v>2</v>
      </c>
      <c r="D46" s="21">
        <v>4.4000000000000004</v>
      </c>
      <c r="F46" s="24" t="s">
        <v>31</v>
      </c>
    </row>
    <row r="47" spans="1:6" x14ac:dyDescent="0.35">
      <c r="A47" s="21">
        <v>15</v>
      </c>
      <c r="B47">
        <v>2</v>
      </c>
      <c r="C47" s="21">
        <v>3</v>
      </c>
      <c r="D47" s="21">
        <v>4.5</v>
      </c>
      <c r="F47" s="24" t="s">
        <v>31</v>
      </c>
    </row>
    <row r="48" spans="1:6" x14ac:dyDescent="0.35">
      <c r="A48" s="21">
        <v>16</v>
      </c>
      <c r="B48">
        <v>2</v>
      </c>
      <c r="C48" s="21">
        <v>1</v>
      </c>
      <c r="D48" s="21">
        <v>4.9000000000000004</v>
      </c>
      <c r="F48" s="24" t="s">
        <v>31</v>
      </c>
    </row>
    <row r="49" spans="1:6" x14ac:dyDescent="0.35">
      <c r="A49" s="21">
        <v>16</v>
      </c>
      <c r="B49">
        <v>2</v>
      </c>
      <c r="C49" s="21">
        <v>2</v>
      </c>
      <c r="D49" s="21">
        <v>4.8</v>
      </c>
      <c r="F49" s="24" t="s">
        <v>31</v>
      </c>
    </row>
    <row r="50" spans="1:6" x14ac:dyDescent="0.35">
      <c r="A50" s="21">
        <v>16</v>
      </c>
      <c r="B50">
        <v>2</v>
      </c>
      <c r="C50" s="21">
        <v>3</v>
      </c>
      <c r="D50" s="21">
        <v>4.9000000000000004</v>
      </c>
      <c r="F50" s="24" t="s">
        <v>31</v>
      </c>
    </row>
    <row r="51" spans="1:6" x14ac:dyDescent="0.35">
      <c r="A51" s="21">
        <v>17</v>
      </c>
      <c r="B51">
        <v>2</v>
      </c>
      <c r="C51" s="21">
        <v>1</v>
      </c>
      <c r="D51" s="21">
        <v>4.5</v>
      </c>
      <c r="F51" s="24" t="s">
        <v>31</v>
      </c>
    </row>
    <row r="52" spans="1:6" x14ac:dyDescent="0.35">
      <c r="A52" s="21">
        <v>17</v>
      </c>
      <c r="B52">
        <v>2</v>
      </c>
      <c r="C52" s="21">
        <v>2</v>
      </c>
      <c r="D52" s="21">
        <v>4.5</v>
      </c>
      <c r="F52" s="24" t="s">
        <v>31</v>
      </c>
    </row>
    <row r="53" spans="1:6" x14ac:dyDescent="0.35">
      <c r="A53" s="21">
        <v>17</v>
      </c>
      <c r="B53">
        <v>2</v>
      </c>
      <c r="C53" s="21">
        <v>3</v>
      </c>
      <c r="D53" s="21">
        <v>4.4000000000000004</v>
      </c>
      <c r="F53" s="24" t="s">
        <v>31</v>
      </c>
    </row>
    <row r="54" spans="1:6" x14ac:dyDescent="0.35">
      <c r="A54" s="21">
        <v>18</v>
      </c>
      <c r="B54">
        <v>2</v>
      </c>
      <c r="C54" s="21">
        <v>1</v>
      </c>
      <c r="D54" s="21">
        <v>6.7</v>
      </c>
      <c r="F54" s="24" t="s">
        <v>31</v>
      </c>
    </row>
    <row r="55" spans="1:6" x14ac:dyDescent="0.35">
      <c r="A55" s="21">
        <v>18</v>
      </c>
      <c r="B55">
        <v>2</v>
      </c>
      <c r="C55" s="21">
        <v>2</v>
      </c>
      <c r="D55" s="21">
        <v>6.7</v>
      </c>
      <c r="F55" s="24" t="s">
        <v>31</v>
      </c>
    </row>
    <row r="56" spans="1:6" x14ac:dyDescent="0.35">
      <c r="A56" s="21">
        <v>18</v>
      </c>
      <c r="B56">
        <v>2</v>
      </c>
      <c r="C56" s="21">
        <v>3</v>
      </c>
      <c r="D56" s="21">
        <v>6.7</v>
      </c>
      <c r="F56" s="24" t="s">
        <v>31</v>
      </c>
    </row>
    <row r="57" spans="1:6" x14ac:dyDescent="0.35">
      <c r="A57" s="21">
        <v>19</v>
      </c>
      <c r="B57">
        <v>2</v>
      </c>
      <c r="C57" s="21">
        <v>1</v>
      </c>
      <c r="D57" s="21">
        <v>6.2</v>
      </c>
      <c r="F57" s="24" t="s">
        <v>31</v>
      </c>
    </row>
    <row r="58" spans="1:6" x14ac:dyDescent="0.35">
      <c r="A58" s="21">
        <v>19</v>
      </c>
      <c r="B58">
        <v>2</v>
      </c>
      <c r="C58" s="21">
        <v>2</v>
      </c>
      <c r="D58" s="21">
        <v>6.1</v>
      </c>
      <c r="F58" s="24" t="s">
        <v>31</v>
      </c>
    </row>
    <row r="59" spans="1:6" x14ac:dyDescent="0.35">
      <c r="A59" s="21">
        <v>19</v>
      </c>
      <c r="B59">
        <v>2</v>
      </c>
      <c r="C59" s="21">
        <v>3</v>
      </c>
      <c r="D59" s="21">
        <v>6.1</v>
      </c>
      <c r="F59" s="24" t="s">
        <v>31</v>
      </c>
    </row>
    <row r="60" spans="1:6" x14ac:dyDescent="0.35">
      <c r="A60" s="21">
        <v>20</v>
      </c>
      <c r="B60">
        <v>2</v>
      </c>
      <c r="C60" s="21">
        <v>1</v>
      </c>
      <c r="D60" s="21">
        <v>5.5</v>
      </c>
      <c r="F60" s="24" t="s">
        <v>31</v>
      </c>
    </row>
    <row r="61" spans="1:6" x14ac:dyDescent="0.35">
      <c r="A61" s="21">
        <v>20</v>
      </c>
      <c r="B61">
        <v>2</v>
      </c>
      <c r="C61" s="21">
        <v>2</v>
      </c>
      <c r="D61" s="21">
        <v>5.4</v>
      </c>
      <c r="F61" s="24" t="s">
        <v>31</v>
      </c>
    </row>
    <row r="62" spans="1:6" x14ac:dyDescent="0.35">
      <c r="A62" s="21">
        <v>20</v>
      </c>
      <c r="B62">
        <v>2</v>
      </c>
      <c r="C62" s="21">
        <v>3</v>
      </c>
      <c r="D62" s="21">
        <v>5.4</v>
      </c>
      <c r="F62" s="24" t="s">
        <v>31</v>
      </c>
    </row>
    <row r="63" spans="1:6" x14ac:dyDescent="0.35">
      <c r="A63" s="21">
        <v>21</v>
      </c>
      <c r="B63">
        <v>2</v>
      </c>
      <c r="C63" s="21">
        <v>1</v>
      </c>
      <c r="D63" s="21">
        <v>5.2</v>
      </c>
      <c r="F63" s="24" t="s">
        <v>31</v>
      </c>
    </row>
    <row r="64" spans="1:6" x14ac:dyDescent="0.35">
      <c r="A64" s="21">
        <v>21</v>
      </c>
      <c r="B64">
        <v>2</v>
      </c>
      <c r="C64" s="21">
        <v>2</v>
      </c>
      <c r="D64" s="21">
        <v>5.2</v>
      </c>
      <c r="F64" s="24" t="s">
        <v>31</v>
      </c>
    </row>
    <row r="65" spans="1:6" x14ac:dyDescent="0.35">
      <c r="A65" s="21">
        <v>21</v>
      </c>
      <c r="B65">
        <v>2</v>
      </c>
      <c r="C65" s="21">
        <v>3</v>
      </c>
      <c r="D65" s="21">
        <v>5.2</v>
      </c>
      <c r="F65" s="24" t="s">
        <v>31</v>
      </c>
    </row>
    <row r="66" spans="1:6" x14ac:dyDescent="0.35">
      <c r="A66" s="21">
        <v>22</v>
      </c>
      <c r="B66">
        <v>2</v>
      </c>
      <c r="C66" s="21">
        <v>1</v>
      </c>
      <c r="D66" s="21">
        <v>4.5</v>
      </c>
      <c r="F66" s="24" t="s">
        <v>31</v>
      </c>
    </row>
    <row r="67" spans="1:6" x14ac:dyDescent="0.35">
      <c r="A67" s="21">
        <v>22</v>
      </c>
      <c r="B67">
        <v>2</v>
      </c>
      <c r="C67" s="21">
        <v>2</v>
      </c>
      <c r="D67" s="21">
        <v>4.5</v>
      </c>
      <c r="F67" s="24" t="s">
        <v>31</v>
      </c>
    </row>
    <row r="68" spans="1:6" x14ac:dyDescent="0.35">
      <c r="A68" s="21">
        <v>22</v>
      </c>
      <c r="B68">
        <v>2</v>
      </c>
      <c r="C68" s="21">
        <v>3</v>
      </c>
      <c r="D68" s="21">
        <v>4.5</v>
      </c>
      <c r="F68" s="24" t="s">
        <v>31</v>
      </c>
    </row>
    <row r="69" spans="1:6" x14ac:dyDescent="0.35">
      <c r="A69" s="21">
        <v>23</v>
      </c>
      <c r="B69">
        <v>2</v>
      </c>
      <c r="C69" s="21">
        <v>1</v>
      </c>
      <c r="D69" s="21">
        <v>4.5</v>
      </c>
      <c r="F69" s="24" t="s">
        <v>31</v>
      </c>
    </row>
    <row r="70" spans="1:6" x14ac:dyDescent="0.35">
      <c r="A70" s="21">
        <v>23</v>
      </c>
      <c r="B70">
        <v>2</v>
      </c>
      <c r="C70" s="21">
        <v>2</v>
      </c>
      <c r="D70" s="21">
        <v>4.5</v>
      </c>
      <c r="F70" s="24" t="s">
        <v>31</v>
      </c>
    </row>
    <row r="71" spans="1:6" x14ac:dyDescent="0.35">
      <c r="A71" s="21">
        <v>23</v>
      </c>
      <c r="B71">
        <v>2</v>
      </c>
      <c r="C71" s="21">
        <v>3</v>
      </c>
      <c r="D71" s="21">
        <v>4.5</v>
      </c>
      <c r="F71" s="24" t="s">
        <v>31</v>
      </c>
    </row>
    <row r="72" spans="1:6" x14ac:dyDescent="0.35">
      <c r="A72" s="21">
        <v>24</v>
      </c>
      <c r="B72">
        <v>2</v>
      </c>
      <c r="C72" s="21">
        <v>1</v>
      </c>
      <c r="D72" s="21">
        <v>4.5</v>
      </c>
      <c r="F72" s="24" t="s">
        <v>31</v>
      </c>
    </row>
    <row r="73" spans="1:6" x14ac:dyDescent="0.35">
      <c r="A73" s="21">
        <v>24</v>
      </c>
      <c r="B73">
        <v>2</v>
      </c>
      <c r="C73" s="21">
        <v>2</v>
      </c>
      <c r="D73" s="21">
        <v>4.5</v>
      </c>
      <c r="F73" s="24" t="s">
        <v>31</v>
      </c>
    </row>
    <row r="74" spans="1:6" x14ac:dyDescent="0.35">
      <c r="A74" s="21">
        <v>24</v>
      </c>
      <c r="B74">
        <v>2</v>
      </c>
      <c r="C74" s="21">
        <v>3</v>
      </c>
      <c r="D74" s="21">
        <v>4.5</v>
      </c>
      <c r="F74" s="24" t="s">
        <v>31</v>
      </c>
    </row>
    <row r="75" spans="1:6" x14ac:dyDescent="0.35">
      <c r="A75" s="21">
        <v>25</v>
      </c>
      <c r="B75">
        <v>2</v>
      </c>
      <c r="C75" s="21">
        <v>1</v>
      </c>
      <c r="D75" s="21">
        <v>4.5</v>
      </c>
      <c r="F75" s="24" t="s">
        <v>31</v>
      </c>
    </row>
    <row r="76" spans="1:6" x14ac:dyDescent="0.35">
      <c r="A76" s="21">
        <v>25</v>
      </c>
      <c r="B76">
        <v>2</v>
      </c>
      <c r="C76" s="21">
        <v>2</v>
      </c>
      <c r="D76" s="21">
        <v>4.5</v>
      </c>
      <c r="F76" s="24" t="s">
        <v>31</v>
      </c>
    </row>
    <row r="77" spans="1:6" x14ac:dyDescent="0.35">
      <c r="A77" s="21">
        <v>25</v>
      </c>
      <c r="B77">
        <v>2</v>
      </c>
      <c r="C77" s="21">
        <v>3</v>
      </c>
      <c r="D77" s="21">
        <v>4.5</v>
      </c>
      <c r="F77" s="24" t="s">
        <v>31</v>
      </c>
    </row>
    <row r="78" spans="1:6" x14ac:dyDescent="0.35">
      <c r="A78" s="21">
        <v>26</v>
      </c>
      <c r="B78">
        <v>2</v>
      </c>
      <c r="C78" s="21">
        <v>1</v>
      </c>
      <c r="D78" s="21">
        <v>5</v>
      </c>
      <c r="F78" s="24" t="s">
        <v>31</v>
      </c>
    </row>
    <row r="79" spans="1:6" x14ac:dyDescent="0.35">
      <c r="A79" s="21">
        <v>26</v>
      </c>
      <c r="B79">
        <v>2</v>
      </c>
      <c r="C79" s="21">
        <v>2</v>
      </c>
      <c r="D79" s="21">
        <v>5</v>
      </c>
      <c r="F79" s="24" t="s">
        <v>31</v>
      </c>
    </row>
    <row r="80" spans="1:6" x14ac:dyDescent="0.35">
      <c r="A80" s="21">
        <v>26</v>
      </c>
      <c r="B80">
        <v>2</v>
      </c>
      <c r="C80" s="21">
        <v>3</v>
      </c>
      <c r="D80" s="21">
        <v>5</v>
      </c>
      <c r="F80" s="24" t="s">
        <v>31</v>
      </c>
    </row>
    <row r="81" spans="1:6" x14ac:dyDescent="0.35">
      <c r="A81" s="21">
        <v>27</v>
      </c>
      <c r="B81">
        <v>2</v>
      </c>
      <c r="C81" s="21">
        <v>1</v>
      </c>
      <c r="D81" s="21">
        <v>4.5</v>
      </c>
      <c r="F81" s="24" t="s">
        <v>31</v>
      </c>
    </row>
    <row r="82" spans="1:6" x14ac:dyDescent="0.35">
      <c r="A82" s="21">
        <v>27</v>
      </c>
      <c r="B82">
        <v>2</v>
      </c>
      <c r="C82" s="21">
        <v>2</v>
      </c>
      <c r="D82" s="21">
        <v>4.5</v>
      </c>
      <c r="F82" s="24" t="s">
        <v>31</v>
      </c>
    </row>
    <row r="83" spans="1:6" x14ac:dyDescent="0.35">
      <c r="A83" s="21">
        <v>27</v>
      </c>
      <c r="B83">
        <v>2</v>
      </c>
      <c r="C83" s="21">
        <v>3</v>
      </c>
      <c r="D83" s="21">
        <v>4.5</v>
      </c>
      <c r="F83" s="24" t="s">
        <v>31</v>
      </c>
    </row>
    <row r="84" spans="1:6" x14ac:dyDescent="0.35">
      <c r="A84" s="21">
        <v>28</v>
      </c>
      <c r="B84">
        <v>2</v>
      </c>
      <c r="C84" s="21">
        <v>1</v>
      </c>
      <c r="D84" s="21">
        <v>4.5999999999999996</v>
      </c>
      <c r="F84" s="24" t="s">
        <v>31</v>
      </c>
    </row>
    <row r="85" spans="1:6" x14ac:dyDescent="0.35">
      <c r="A85" s="21">
        <v>28</v>
      </c>
      <c r="B85">
        <v>2</v>
      </c>
      <c r="C85" s="21">
        <v>2</v>
      </c>
      <c r="D85" s="21">
        <v>4.5999999999999996</v>
      </c>
      <c r="F85" s="24" t="s">
        <v>31</v>
      </c>
    </row>
    <row r="86" spans="1:6" x14ac:dyDescent="0.35">
      <c r="A86" s="21">
        <v>28</v>
      </c>
      <c r="B86">
        <v>2</v>
      </c>
      <c r="C86" s="21">
        <v>3</v>
      </c>
      <c r="D86" s="21">
        <v>4.5999999999999996</v>
      </c>
      <c r="F86" s="24" t="s">
        <v>31</v>
      </c>
    </row>
    <row r="87" spans="1:6" x14ac:dyDescent="0.35">
      <c r="A87" s="21">
        <v>29</v>
      </c>
      <c r="B87">
        <v>2</v>
      </c>
      <c r="C87" s="21">
        <v>1</v>
      </c>
      <c r="D87" s="21">
        <v>5</v>
      </c>
      <c r="F87" s="24" t="s">
        <v>31</v>
      </c>
    </row>
    <row r="88" spans="1:6" x14ac:dyDescent="0.35">
      <c r="A88" s="21">
        <v>29</v>
      </c>
      <c r="B88">
        <v>2</v>
      </c>
      <c r="C88" s="21">
        <v>2</v>
      </c>
      <c r="D88" s="21">
        <v>5</v>
      </c>
      <c r="F88" s="24" t="s">
        <v>31</v>
      </c>
    </row>
    <row r="89" spans="1:6" x14ac:dyDescent="0.35">
      <c r="A89" s="21">
        <v>29</v>
      </c>
      <c r="B89">
        <v>2</v>
      </c>
      <c r="C89" s="21">
        <v>3</v>
      </c>
      <c r="D89" s="21">
        <v>5</v>
      </c>
      <c r="F89" s="24" t="s">
        <v>31</v>
      </c>
    </row>
    <row r="90" spans="1:6" x14ac:dyDescent="0.35">
      <c r="A90" s="21">
        <v>30</v>
      </c>
      <c r="B90">
        <v>2</v>
      </c>
      <c r="C90" s="21">
        <v>1</v>
      </c>
      <c r="D90" s="21">
        <v>6.5</v>
      </c>
      <c r="F90" s="24" t="s">
        <v>31</v>
      </c>
    </row>
    <row r="91" spans="1:6" x14ac:dyDescent="0.35">
      <c r="A91" s="21">
        <v>30</v>
      </c>
      <c r="B91">
        <v>2</v>
      </c>
      <c r="C91" s="21">
        <v>2</v>
      </c>
      <c r="D91" s="21">
        <v>6.5</v>
      </c>
      <c r="F91" s="24" t="s">
        <v>31</v>
      </c>
    </row>
    <row r="92" spans="1:6" x14ac:dyDescent="0.35">
      <c r="A92" s="21">
        <v>30</v>
      </c>
      <c r="B92">
        <v>2</v>
      </c>
      <c r="C92" s="21">
        <v>3</v>
      </c>
      <c r="D92" s="21">
        <v>6.5</v>
      </c>
      <c r="F92" s="24" t="s">
        <v>31</v>
      </c>
    </row>
    <row r="93" spans="1:6" x14ac:dyDescent="0.35">
      <c r="A93" s="21">
        <v>31</v>
      </c>
      <c r="B93">
        <v>2</v>
      </c>
      <c r="C93" s="21">
        <v>1</v>
      </c>
      <c r="D93" s="21">
        <v>6.9</v>
      </c>
      <c r="F93" s="24" t="s">
        <v>31</v>
      </c>
    </row>
    <row r="94" spans="1:6" x14ac:dyDescent="0.35">
      <c r="A94" s="21">
        <v>31</v>
      </c>
      <c r="B94">
        <v>2</v>
      </c>
      <c r="C94" s="21">
        <v>2</v>
      </c>
      <c r="D94" s="21">
        <v>6.9</v>
      </c>
      <c r="F94" s="24" t="s">
        <v>31</v>
      </c>
    </row>
    <row r="95" spans="1:6" x14ac:dyDescent="0.35">
      <c r="A95" s="21">
        <v>31</v>
      </c>
      <c r="B95">
        <v>2</v>
      </c>
      <c r="C95" s="21">
        <v>3</v>
      </c>
      <c r="D95" s="21">
        <v>6.9</v>
      </c>
      <c r="F95" s="24" t="s">
        <v>31</v>
      </c>
    </row>
    <row r="96" spans="1:6" x14ac:dyDescent="0.35">
      <c r="A96" s="21">
        <v>32</v>
      </c>
      <c r="B96">
        <v>2</v>
      </c>
      <c r="C96" s="21">
        <v>1</v>
      </c>
      <c r="D96" s="21">
        <v>4.5</v>
      </c>
      <c r="F96" s="24" t="s">
        <v>31</v>
      </c>
    </row>
    <row r="97" spans="1:6" x14ac:dyDescent="0.35">
      <c r="A97" s="21">
        <v>32</v>
      </c>
      <c r="B97">
        <v>2</v>
      </c>
      <c r="C97" s="21">
        <v>2</v>
      </c>
      <c r="D97" s="21">
        <v>4.5</v>
      </c>
      <c r="F97" s="24" t="s">
        <v>31</v>
      </c>
    </row>
    <row r="98" spans="1:6" x14ac:dyDescent="0.35">
      <c r="A98" s="21">
        <v>32</v>
      </c>
      <c r="B98">
        <v>2</v>
      </c>
      <c r="C98" s="21">
        <v>3</v>
      </c>
      <c r="D98" s="21">
        <v>4.5</v>
      </c>
      <c r="F98" s="24" t="s">
        <v>31</v>
      </c>
    </row>
    <row r="99" spans="1:6" x14ac:dyDescent="0.35">
      <c r="A99" s="21">
        <v>33</v>
      </c>
      <c r="B99">
        <v>2</v>
      </c>
      <c r="C99" s="21">
        <v>1</v>
      </c>
      <c r="D99" s="21">
        <v>5.0999999999999996</v>
      </c>
      <c r="F99" s="24" t="s">
        <v>31</v>
      </c>
    </row>
    <row r="100" spans="1:6" x14ac:dyDescent="0.35">
      <c r="A100" s="21">
        <v>33</v>
      </c>
      <c r="B100">
        <v>2</v>
      </c>
      <c r="C100" s="21">
        <v>2</v>
      </c>
      <c r="D100" s="21">
        <v>5.0999999999999996</v>
      </c>
      <c r="F100" s="24" t="s">
        <v>31</v>
      </c>
    </row>
    <row r="101" spans="1:6" x14ac:dyDescent="0.35">
      <c r="A101" s="21">
        <v>33</v>
      </c>
      <c r="B101">
        <v>2</v>
      </c>
      <c r="C101" s="21">
        <v>3</v>
      </c>
      <c r="D101" s="21">
        <v>5.0999999999999996</v>
      </c>
      <c r="F101" s="24" t="s">
        <v>31</v>
      </c>
    </row>
    <row r="102" spans="1:6" x14ac:dyDescent="0.35">
      <c r="A102" s="21">
        <v>34</v>
      </c>
      <c r="B102">
        <v>2</v>
      </c>
      <c r="C102" s="21">
        <v>1</v>
      </c>
      <c r="D102" s="21">
        <v>5.6</v>
      </c>
      <c r="F102" s="24" t="s">
        <v>31</v>
      </c>
    </row>
    <row r="103" spans="1:6" x14ac:dyDescent="0.35">
      <c r="A103" s="21">
        <v>34</v>
      </c>
      <c r="B103">
        <v>2</v>
      </c>
      <c r="C103" s="21">
        <v>2</v>
      </c>
      <c r="D103" s="21">
        <v>5.6</v>
      </c>
      <c r="F103" s="24" t="s">
        <v>31</v>
      </c>
    </row>
    <row r="104" spans="1:6" x14ac:dyDescent="0.35">
      <c r="A104" s="21">
        <v>34</v>
      </c>
      <c r="B104">
        <v>2</v>
      </c>
      <c r="C104" s="21">
        <v>3</v>
      </c>
      <c r="D104" s="21">
        <v>4.5</v>
      </c>
      <c r="F104" s="24" t="s">
        <v>31</v>
      </c>
    </row>
    <row r="105" spans="1:6" x14ac:dyDescent="0.35">
      <c r="A105" s="21">
        <v>35</v>
      </c>
      <c r="B105">
        <v>2</v>
      </c>
      <c r="C105" s="21">
        <v>1</v>
      </c>
      <c r="D105" s="21">
        <v>4.5</v>
      </c>
      <c r="F105" s="24" t="s">
        <v>31</v>
      </c>
    </row>
    <row r="106" spans="1:6" x14ac:dyDescent="0.35">
      <c r="A106" s="21">
        <v>35</v>
      </c>
      <c r="B106">
        <v>2</v>
      </c>
      <c r="C106" s="21">
        <v>2</v>
      </c>
      <c r="D106" s="21">
        <v>4.5</v>
      </c>
      <c r="F106" s="24" t="s">
        <v>31</v>
      </c>
    </row>
    <row r="107" spans="1:6" x14ac:dyDescent="0.35">
      <c r="A107" s="21">
        <v>35</v>
      </c>
      <c r="B107">
        <v>2</v>
      </c>
      <c r="C107" s="21">
        <v>3</v>
      </c>
      <c r="D107" s="21">
        <v>4.5</v>
      </c>
      <c r="F107" s="24" t="s">
        <v>31</v>
      </c>
    </row>
    <row r="108" spans="1:6" x14ac:dyDescent="0.35">
      <c r="A108" s="21">
        <v>36</v>
      </c>
      <c r="B108">
        <v>2</v>
      </c>
      <c r="C108" s="21">
        <v>1</v>
      </c>
      <c r="D108" s="21">
        <v>6.3</v>
      </c>
      <c r="F108" s="24" t="s">
        <v>31</v>
      </c>
    </row>
    <row r="109" spans="1:6" x14ac:dyDescent="0.35">
      <c r="A109" s="21">
        <v>36</v>
      </c>
      <c r="B109">
        <v>2</v>
      </c>
      <c r="C109" s="21">
        <v>2</v>
      </c>
      <c r="D109" s="21">
        <v>6.3</v>
      </c>
      <c r="F109" s="24" t="s">
        <v>31</v>
      </c>
    </row>
    <row r="110" spans="1:6" x14ac:dyDescent="0.35">
      <c r="A110" s="21">
        <v>36</v>
      </c>
      <c r="B110">
        <v>2</v>
      </c>
      <c r="C110" s="21">
        <v>3</v>
      </c>
      <c r="D110" s="21">
        <v>6.3</v>
      </c>
      <c r="F110" s="24" t="s">
        <v>31</v>
      </c>
    </row>
    <row r="111" spans="1:6" x14ac:dyDescent="0.35">
      <c r="A111" s="21">
        <v>37</v>
      </c>
      <c r="B111">
        <v>2</v>
      </c>
      <c r="C111" s="21">
        <v>1</v>
      </c>
      <c r="D111" s="21">
        <v>4.5</v>
      </c>
      <c r="F111" s="24" t="s">
        <v>31</v>
      </c>
    </row>
    <row r="112" spans="1:6" x14ac:dyDescent="0.35">
      <c r="A112" s="21">
        <v>37</v>
      </c>
      <c r="B112">
        <v>2</v>
      </c>
      <c r="C112" s="21">
        <v>2</v>
      </c>
      <c r="D112" s="21">
        <v>4.5</v>
      </c>
      <c r="F112" s="24" t="s">
        <v>31</v>
      </c>
    </row>
    <row r="113" spans="1:6" x14ac:dyDescent="0.35">
      <c r="A113" s="21">
        <v>37</v>
      </c>
      <c r="B113">
        <v>2</v>
      </c>
      <c r="C113" s="21">
        <v>3</v>
      </c>
      <c r="D113" s="21">
        <v>4.5</v>
      </c>
      <c r="F113" s="24" t="s">
        <v>31</v>
      </c>
    </row>
    <row r="114" spans="1:6" x14ac:dyDescent="0.35">
      <c r="A114" s="21">
        <v>38</v>
      </c>
      <c r="B114">
        <v>2</v>
      </c>
      <c r="C114" s="21">
        <v>1</v>
      </c>
      <c r="D114" s="21">
        <v>4.5</v>
      </c>
      <c r="F114" s="24" t="s">
        <v>31</v>
      </c>
    </row>
    <row r="115" spans="1:6" x14ac:dyDescent="0.35">
      <c r="A115" s="21">
        <v>38</v>
      </c>
      <c r="B115">
        <v>2</v>
      </c>
      <c r="C115" s="21">
        <v>2</v>
      </c>
      <c r="D115" s="21">
        <v>4.5</v>
      </c>
      <c r="F115" s="24" t="s">
        <v>31</v>
      </c>
    </row>
    <row r="116" spans="1:6" x14ac:dyDescent="0.35">
      <c r="A116" s="21">
        <v>38</v>
      </c>
      <c r="B116">
        <v>2</v>
      </c>
      <c r="C116" s="21">
        <v>3</v>
      </c>
      <c r="D116" s="21">
        <v>4.5</v>
      </c>
      <c r="F116" s="24" t="s">
        <v>31</v>
      </c>
    </row>
  </sheetData>
  <mergeCells count="7">
    <mergeCell ref="K2:K4"/>
    <mergeCell ref="K5:K7"/>
    <mergeCell ref="J2:J7"/>
    <mergeCell ref="K8:K10"/>
    <mergeCell ref="J8:J16"/>
    <mergeCell ref="K11:K13"/>
    <mergeCell ref="K14:K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D190-8AD2-423D-B9EC-2875B4596B8A}">
  <dimension ref="A1:I39"/>
  <sheetViews>
    <sheetView topLeftCell="A3" workbookViewId="0">
      <selection activeCell="H3" activeCellId="3" sqref="A1:A1048576 B1:B1048576 F1:F1048576 H1:H1048576"/>
    </sheetView>
  </sheetViews>
  <sheetFormatPr defaultRowHeight="14.5" x14ac:dyDescent="0.35"/>
  <sheetData>
    <row r="1" spans="1:9" x14ac:dyDescent="0.35">
      <c r="A1" s="1" t="s">
        <v>54</v>
      </c>
      <c r="B1" s="1" t="s">
        <v>55</v>
      </c>
      <c r="C1" s="1" t="s">
        <v>0</v>
      </c>
      <c r="D1" s="1" t="s">
        <v>1</v>
      </c>
      <c r="E1" s="1" t="s">
        <v>56</v>
      </c>
      <c r="F1" s="9" t="s">
        <v>8</v>
      </c>
      <c r="G1" s="25" t="s">
        <v>57</v>
      </c>
      <c r="H1" s="1" t="s">
        <v>2</v>
      </c>
      <c r="I1" s="1" t="s">
        <v>3</v>
      </c>
    </row>
    <row r="2" spans="1:9" x14ac:dyDescent="0.35">
      <c r="A2" s="2" t="s">
        <v>58</v>
      </c>
      <c r="B2" s="2" t="s">
        <v>59</v>
      </c>
      <c r="C2" s="2">
        <v>526669</v>
      </c>
      <c r="D2" s="2">
        <v>200169</v>
      </c>
      <c r="E2" s="3" t="s">
        <v>60</v>
      </c>
      <c r="F2" s="2" t="s">
        <v>9</v>
      </c>
      <c r="G2" s="26">
        <v>2275.3939999999998</v>
      </c>
      <c r="H2" s="5">
        <v>5.5</v>
      </c>
      <c r="I2">
        <v>0.09</v>
      </c>
    </row>
    <row r="3" spans="1:9" x14ac:dyDescent="0.35">
      <c r="A3" s="2" t="s">
        <v>61</v>
      </c>
      <c r="B3" s="2" t="s">
        <v>58</v>
      </c>
      <c r="C3" s="2">
        <v>511844</v>
      </c>
      <c r="D3" s="2">
        <v>241970</v>
      </c>
      <c r="E3" s="3" t="s">
        <v>60</v>
      </c>
      <c r="F3" s="2" t="s">
        <v>10</v>
      </c>
      <c r="G3" s="26">
        <v>25301.215</v>
      </c>
      <c r="H3" s="5">
        <v>6.6</v>
      </c>
      <c r="I3">
        <v>0.12</v>
      </c>
    </row>
    <row r="4" spans="1:9" x14ac:dyDescent="0.35">
      <c r="A4" s="3" t="s">
        <v>62</v>
      </c>
      <c r="B4" s="2" t="s">
        <v>63</v>
      </c>
      <c r="C4" s="3">
        <v>547779.40756862308</v>
      </c>
      <c r="D4" s="3">
        <v>242387.1697849</v>
      </c>
      <c r="E4" s="3" t="s">
        <v>64</v>
      </c>
      <c r="F4" s="2" t="s">
        <v>9</v>
      </c>
      <c r="G4" s="26">
        <v>0</v>
      </c>
      <c r="H4" s="3">
        <v>5.2</v>
      </c>
      <c r="I4" s="6">
        <v>1.014</v>
      </c>
    </row>
    <row r="5" spans="1:9" x14ac:dyDescent="0.35">
      <c r="A5" s="4" t="s">
        <v>65</v>
      </c>
      <c r="B5" s="10" t="s">
        <v>66</v>
      </c>
      <c r="C5" s="4">
        <v>544307.13542585622</v>
      </c>
      <c r="D5" s="4">
        <v>240847.57140660001</v>
      </c>
      <c r="E5" s="4" t="s">
        <v>60</v>
      </c>
      <c r="F5" s="10" t="s">
        <v>9</v>
      </c>
      <c r="G5" s="27">
        <v>3923.5459999999998</v>
      </c>
      <c r="H5" s="4">
        <v>4.5</v>
      </c>
      <c r="I5" s="28">
        <v>1.714</v>
      </c>
    </row>
    <row r="6" spans="1:9" x14ac:dyDescent="0.35">
      <c r="A6" s="3" t="s">
        <v>67</v>
      </c>
      <c r="B6" s="2" t="s">
        <v>68</v>
      </c>
      <c r="C6" s="3">
        <v>549962.38494740776</v>
      </c>
      <c r="D6" s="3">
        <v>238062.5734999</v>
      </c>
      <c r="E6" s="3" t="s">
        <v>69</v>
      </c>
      <c r="F6" s="2" t="s">
        <v>9</v>
      </c>
      <c r="G6" s="26">
        <v>2091.3020000000001</v>
      </c>
      <c r="H6" s="3">
        <v>4.5</v>
      </c>
      <c r="I6" s="7">
        <v>1.5980000000000001</v>
      </c>
    </row>
    <row r="7" spans="1:9" x14ac:dyDescent="0.35">
      <c r="A7" s="3" t="s">
        <v>70</v>
      </c>
      <c r="B7" s="2" t="s">
        <v>71</v>
      </c>
      <c r="C7" s="3">
        <v>549349.77819263749</v>
      </c>
      <c r="D7" s="3">
        <v>237695.41803189999</v>
      </c>
      <c r="E7" s="3" t="s">
        <v>69</v>
      </c>
      <c r="F7" s="2" t="s">
        <v>9</v>
      </c>
      <c r="G7" s="26">
        <v>2397.7020000000002</v>
      </c>
      <c r="H7" s="3">
        <v>4.5</v>
      </c>
      <c r="I7" s="7">
        <v>0.83199999999999996</v>
      </c>
    </row>
    <row r="8" spans="1:9" x14ac:dyDescent="0.35">
      <c r="A8" s="3" t="s">
        <v>72</v>
      </c>
      <c r="B8" s="2" t="s">
        <v>73</v>
      </c>
      <c r="C8" s="3">
        <v>550440.89963251201</v>
      </c>
      <c r="D8" s="3">
        <v>244269.26341670001</v>
      </c>
      <c r="E8" s="3" t="s">
        <v>60</v>
      </c>
      <c r="F8" s="2" t="s">
        <v>9</v>
      </c>
      <c r="G8" s="26">
        <v>648.99699999999996</v>
      </c>
      <c r="H8" s="3">
        <v>4.5</v>
      </c>
      <c r="I8" s="7">
        <v>1.28</v>
      </c>
    </row>
    <row r="9" spans="1:9" x14ac:dyDescent="0.35">
      <c r="A9" s="2" t="s">
        <v>74</v>
      </c>
      <c r="B9" s="2" t="s">
        <v>75</v>
      </c>
      <c r="C9" s="2">
        <v>549200</v>
      </c>
      <c r="D9" s="2">
        <v>235713</v>
      </c>
      <c r="E9" s="3" t="s">
        <v>76</v>
      </c>
      <c r="F9" s="2" t="s">
        <v>9</v>
      </c>
      <c r="G9" s="26">
        <v>2439.6529999999998</v>
      </c>
      <c r="H9" s="2">
        <v>4.5</v>
      </c>
      <c r="I9" s="7">
        <v>3.32</v>
      </c>
    </row>
    <row r="10" spans="1:9" x14ac:dyDescent="0.35">
      <c r="A10" s="2" t="s">
        <v>77</v>
      </c>
      <c r="B10" s="2" t="s">
        <v>78</v>
      </c>
      <c r="C10" s="2">
        <v>528492</v>
      </c>
      <c r="D10" s="2">
        <v>221272</v>
      </c>
      <c r="E10" s="3" t="s">
        <v>76</v>
      </c>
      <c r="F10" s="2" t="s">
        <v>9</v>
      </c>
      <c r="G10" s="26">
        <v>7997.3850000000002</v>
      </c>
      <c r="H10" s="2">
        <v>6.5</v>
      </c>
      <c r="I10" s="7">
        <v>0.14799999999999999</v>
      </c>
    </row>
    <row r="11" spans="1:9" x14ac:dyDescent="0.35">
      <c r="A11" s="2" t="s">
        <v>79</v>
      </c>
      <c r="B11" s="2" t="s">
        <v>80</v>
      </c>
      <c r="C11" s="2">
        <v>543324</v>
      </c>
      <c r="D11" s="2">
        <v>239136</v>
      </c>
      <c r="E11" s="3" t="s">
        <v>76</v>
      </c>
      <c r="F11" s="2" t="s">
        <v>9</v>
      </c>
      <c r="G11" s="26">
        <v>5251.3029999999999</v>
      </c>
      <c r="H11" s="5">
        <v>4.5</v>
      </c>
      <c r="I11" s="7">
        <v>9.1999999999999998E-2</v>
      </c>
    </row>
    <row r="12" spans="1:9" x14ac:dyDescent="0.35">
      <c r="A12" s="2" t="s">
        <v>81</v>
      </c>
      <c r="B12" s="2" t="s">
        <v>82</v>
      </c>
      <c r="C12" s="2">
        <v>549495</v>
      </c>
      <c r="D12" s="2">
        <v>237335</v>
      </c>
      <c r="E12" s="3" t="s">
        <v>76</v>
      </c>
      <c r="F12" s="2" t="s">
        <v>9</v>
      </c>
      <c r="G12" s="26">
        <v>2756.2159999999999</v>
      </c>
      <c r="H12" s="5">
        <v>4.5999999999999996</v>
      </c>
      <c r="I12" s="7">
        <v>0.51400000000000001</v>
      </c>
    </row>
    <row r="13" spans="1:9" x14ac:dyDescent="0.35">
      <c r="A13" s="2" t="s">
        <v>83</v>
      </c>
      <c r="B13" s="2" t="s">
        <v>84</v>
      </c>
      <c r="C13" s="2">
        <v>574245</v>
      </c>
      <c r="D13" s="2">
        <v>237001</v>
      </c>
      <c r="E13" s="3" t="s">
        <v>76</v>
      </c>
      <c r="F13" s="2" t="s">
        <v>9</v>
      </c>
      <c r="G13" s="26">
        <v>4257.9939999999997</v>
      </c>
      <c r="H13" s="2">
        <v>7</v>
      </c>
      <c r="I13" s="7">
        <v>6.0000000000000001E-3</v>
      </c>
    </row>
    <row r="14" spans="1:9" x14ac:dyDescent="0.35">
      <c r="A14" s="2" t="s">
        <v>85</v>
      </c>
      <c r="B14" s="2" t="s">
        <v>86</v>
      </c>
      <c r="C14" s="2">
        <v>570494</v>
      </c>
      <c r="D14" s="2">
        <v>233080</v>
      </c>
      <c r="E14" s="3" t="s">
        <v>76</v>
      </c>
      <c r="F14" s="2" t="s">
        <v>9</v>
      </c>
      <c r="G14" s="26">
        <v>0</v>
      </c>
      <c r="H14" s="2">
        <v>5.2</v>
      </c>
      <c r="I14" s="7">
        <v>5.81</v>
      </c>
    </row>
    <row r="15" spans="1:9" x14ac:dyDescent="0.35">
      <c r="A15" s="2" t="s">
        <v>87</v>
      </c>
      <c r="B15" s="2" t="s">
        <v>88</v>
      </c>
      <c r="C15" s="2">
        <v>565841</v>
      </c>
      <c r="D15" s="2">
        <v>231517</v>
      </c>
      <c r="E15" s="3" t="s">
        <v>76</v>
      </c>
      <c r="F15" s="2" t="s">
        <v>9</v>
      </c>
      <c r="G15" s="26">
        <v>4066.0639999999999</v>
      </c>
      <c r="H15" s="5">
        <v>6.5</v>
      </c>
      <c r="I15" s="7">
        <v>0.14199999999999999</v>
      </c>
    </row>
    <row r="16" spans="1:9" x14ac:dyDescent="0.35">
      <c r="A16" s="2" t="s">
        <v>89</v>
      </c>
      <c r="B16" s="2" t="s">
        <v>90</v>
      </c>
      <c r="C16" s="2">
        <v>557336</v>
      </c>
      <c r="D16" s="2">
        <v>232118</v>
      </c>
      <c r="E16" s="3" t="s">
        <v>76</v>
      </c>
      <c r="F16" s="10" t="s">
        <v>91</v>
      </c>
      <c r="G16" s="26">
        <v>3966.962</v>
      </c>
      <c r="H16" s="3">
        <v>6.9</v>
      </c>
      <c r="I16" s="7">
        <v>1.7999999999999999E-2</v>
      </c>
    </row>
    <row r="17" spans="1:9" x14ac:dyDescent="0.35">
      <c r="A17" s="2" t="s">
        <v>92</v>
      </c>
      <c r="B17" s="2" t="s">
        <v>93</v>
      </c>
      <c r="C17" s="2">
        <v>571763</v>
      </c>
      <c r="D17" s="2">
        <v>244308</v>
      </c>
      <c r="E17" s="3" t="s">
        <v>76</v>
      </c>
      <c r="F17" s="2" t="s">
        <v>9</v>
      </c>
      <c r="G17" s="26">
        <v>5087.4610000000002</v>
      </c>
      <c r="H17" s="2">
        <v>4.5</v>
      </c>
      <c r="I17" s="7">
        <v>0.57199999999999995</v>
      </c>
    </row>
    <row r="18" spans="1:9" ht="15" thickBot="1" x14ac:dyDescent="0.4">
      <c r="A18" s="2" t="s">
        <v>94</v>
      </c>
      <c r="B18" s="2" t="s">
        <v>95</v>
      </c>
      <c r="C18" s="2">
        <v>606056</v>
      </c>
      <c r="D18" s="2">
        <v>246538</v>
      </c>
      <c r="E18" s="3" t="s">
        <v>76</v>
      </c>
      <c r="F18" s="2" t="s">
        <v>10</v>
      </c>
      <c r="G18" s="26">
        <v>35049.966</v>
      </c>
      <c r="H18" s="5">
        <v>5.2</v>
      </c>
      <c r="I18" s="7">
        <v>0.11</v>
      </c>
    </row>
    <row r="19" spans="1:9" ht="15" thickBot="1" x14ac:dyDescent="0.4">
      <c r="A19" s="3" t="s">
        <v>96</v>
      </c>
      <c r="B19" s="2" t="s">
        <v>81</v>
      </c>
      <c r="C19" s="3">
        <v>547055.45320000174</v>
      </c>
      <c r="D19" s="3">
        <v>238639.83793539999</v>
      </c>
      <c r="E19" s="3" t="s">
        <v>76</v>
      </c>
      <c r="F19" s="2" t="s">
        <v>9</v>
      </c>
      <c r="G19" s="26">
        <v>2230.3009999999999</v>
      </c>
      <c r="H19" s="29">
        <v>6.9</v>
      </c>
      <c r="I19" t="s">
        <v>4</v>
      </c>
    </row>
    <row r="20" spans="1:9" ht="15" thickBot="1" x14ac:dyDescent="0.4">
      <c r="A20" s="3" t="s">
        <v>97</v>
      </c>
      <c r="B20" s="2" t="s">
        <v>79</v>
      </c>
      <c r="C20" s="3">
        <v>547071.0125217376</v>
      </c>
      <c r="D20" s="3">
        <v>238670.79196959999</v>
      </c>
      <c r="E20" s="3" t="s">
        <v>76</v>
      </c>
      <c r="F20" s="2" t="s">
        <v>9</v>
      </c>
      <c r="G20" s="26">
        <v>2230.3009999999999</v>
      </c>
      <c r="H20" s="29">
        <v>6.9</v>
      </c>
      <c r="I20" t="s">
        <v>4</v>
      </c>
    </row>
    <row r="21" spans="1:9" ht="15" thickBot="1" x14ac:dyDescent="0.4">
      <c r="A21" s="3" t="s">
        <v>98</v>
      </c>
      <c r="B21" s="2" t="s">
        <v>74</v>
      </c>
      <c r="C21" s="3">
        <v>545290.78859843349</v>
      </c>
      <c r="D21" s="3">
        <v>238376.2841928</v>
      </c>
      <c r="E21" s="3" t="s">
        <v>76</v>
      </c>
      <c r="F21" s="2" t="s">
        <v>9</v>
      </c>
      <c r="G21" s="26">
        <v>3829.68</v>
      </c>
      <c r="H21" s="29">
        <v>6.9</v>
      </c>
      <c r="I21" t="s">
        <v>4</v>
      </c>
    </row>
    <row r="22" spans="1:9" ht="15" thickBot="1" x14ac:dyDescent="0.4">
      <c r="A22" s="3" t="s">
        <v>99</v>
      </c>
      <c r="B22" s="2" t="s">
        <v>100</v>
      </c>
      <c r="C22" s="3">
        <v>543306.80062357336</v>
      </c>
      <c r="D22" s="3">
        <v>239121.87087879999</v>
      </c>
      <c r="E22" s="3" t="s">
        <v>76</v>
      </c>
      <c r="F22" s="2" t="s">
        <v>9</v>
      </c>
      <c r="G22" s="26">
        <v>5251.3029999999999</v>
      </c>
      <c r="H22" s="29">
        <v>4.5</v>
      </c>
      <c r="I22" t="s">
        <v>4</v>
      </c>
    </row>
    <row r="23" spans="1:9" x14ac:dyDescent="0.35">
      <c r="A23" s="3" t="s">
        <v>101</v>
      </c>
      <c r="B23" s="2" t="s">
        <v>102</v>
      </c>
      <c r="C23" s="3">
        <v>549307.39735539269</v>
      </c>
      <c r="D23" s="3">
        <v>238124.2813001</v>
      </c>
      <c r="E23" s="3" t="s">
        <v>76</v>
      </c>
      <c r="F23" s="2" t="s">
        <v>9</v>
      </c>
      <c r="G23" s="26">
        <v>1971.999</v>
      </c>
      <c r="H23" s="3">
        <v>5.0999999999999996</v>
      </c>
      <c r="I23" s="6">
        <v>0.26600000000000001</v>
      </c>
    </row>
    <row r="24" spans="1:9" x14ac:dyDescent="0.35">
      <c r="A24" s="3" t="s">
        <v>103</v>
      </c>
      <c r="B24" s="2" t="s">
        <v>92</v>
      </c>
      <c r="C24" s="3">
        <v>546542.22633992753</v>
      </c>
      <c r="D24" s="3">
        <v>240799.54207950001</v>
      </c>
      <c r="E24" s="3" t="s">
        <v>104</v>
      </c>
      <c r="F24" s="2" t="s">
        <v>9</v>
      </c>
      <c r="G24" s="26">
        <v>1693.8630000000001</v>
      </c>
      <c r="H24" s="3">
        <v>5.6</v>
      </c>
      <c r="I24" s="6">
        <v>0.11600000000000001</v>
      </c>
    </row>
    <row r="25" spans="1:9" x14ac:dyDescent="0.35">
      <c r="A25" s="3" t="s">
        <v>105</v>
      </c>
      <c r="B25" s="2" t="s">
        <v>83</v>
      </c>
      <c r="C25" s="3">
        <v>547382.71037844801</v>
      </c>
      <c r="D25" s="3">
        <v>241413.24534669999</v>
      </c>
      <c r="E25" s="3" t="s">
        <v>76</v>
      </c>
      <c r="F25" s="2" t="s">
        <v>9</v>
      </c>
      <c r="G25" s="26">
        <v>855.86400000000003</v>
      </c>
      <c r="H25" s="3">
        <v>4.5</v>
      </c>
    </row>
    <row r="26" spans="1:9" x14ac:dyDescent="0.35">
      <c r="A26" s="3" t="s">
        <v>106</v>
      </c>
      <c r="B26" s="2" t="s">
        <v>85</v>
      </c>
      <c r="C26" s="3">
        <v>547741.8624700947</v>
      </c>
      <c r="D26" s="3">
        <v>241471.930964</v>
      </c>
      <c r="E26" s="3" t="s">
        <v>76</v>
      </c>
      <c r="F26" s="2" t="s">
        <v>9</v>
      </c>
      <c r="G26" s="26">
        <v>675.59100000000001</v>
      </c>
      <c r="H26" s="3">
        <v>6.3</v>
      </c>
      <c r="I26" s="6">
        <v>4.2000000000000003E-2</v>
      </c>
    </row>
    <row r="27" spans="1:9" x14ac:dyDescent="0.35">
      <c r="A27" s="3" t="s">
        <v>107</v>
      </c>
      <c r="B27" s="2" t="s">
        <v>108</v>
      </c>
      <c r="C27" s="3">
        <v>553710.03538946749</v>
      </c>
      <c r="D27" s="3">
        <v>244396.30447890001</v>
      </c>
      <c r="E27" s="3" t="s">
        <v>76</v>
      </c>
      <c r="F27" s="10" t="s">
        <v>10</v>
      </c>
      <c r="G27" s="26">
        <v>3180.6869999999999</v>
      </c>
      <c r="H27" s="3">
        <v>6.8</v>
      </c>
      <c r="I27" s="6">
        <v>0.06</v>
      </c>
    </row>
    <row r="28" spans="1:9" ht="15" thickBot="1" x14ac:dyDescent="0.4">
      <c r="A28" s="3" t="s">
        <v>109</v>
      </c>
      <c r="B28" s="2" t="s">
        <v>110</v>
      </c>
      <c r="C28" s="3">
        <v>550725.51218601409</v>
      </c>
      <c r="D28" s="3">
        <v>240785.28106549999</v>
      </c>
      <c r="E28" s="3" t="s">
        <v>76</v>
      </c>
      <c r="F28" s="2" t="s">
        <v>11</v>
      </c>
      <c r="G28" s="27" t="s">
        <v>111</v>
      </c>
      <c r="H28" s="3">
        <v>6.7</v>
      </c>
      <c r="I28" s="7">
        <v>0.19600000000000001</v>
      </c>
    </row>
    <row r="29" spans="1:9" ht="15" thickBot="1" x14ac:dyDescent="0.4">
      <c r="A29" s="3" t="s">
        <v>112</v>
      </c>
      <c r="B29" s="2" t="s">
        <v>113</v>
      </c>
      <c r="C29" s="29">
        <v>2.1537500000000001</v>
      </c>
      <c r="D29" s="29">
        <v>117.44931</v>
      </c>
      <c r="E29" s="3" t="s">
        <v>104</v>
      </c>
      <c r="F29" s="2" t="s">
        <v>12</v>
      </c>
      <c r="G29" s="27" t="s">
        <v>111</v>
      </c>
      <c r="H29" s="3">
        <v>4.5</v>
      </c>
      <c r="I29" s="7">
        <v>0.21099999999999999</v>
      </c>
    </row>
    <row r="30" spans="1:9" ht="15" thickBot="1" x14ac:dyDescent="0.4">
      <c r="A30" s="3" t="s">
        <v>114</v>
      </c>
      <c r="B30" s="2" t="s">
        <v>115</v>
      </c>
      <c r="C30" s="4"/>
      <c r="D30" s="4"/>
      <c r="E30" s="3" t="s">
        <v>104</v>
      </c>
      <c r="F30" s="2" t="s">
        <v>12</v>
      </c>
      <c r="G30" s="27" t="s">
        <v>91</v>
      </c>
      <c r="H30" s="3">
        <v>4.9000000000000004</v>
      </c>
      <c r="I30" s="7">
        <v>0.104</v>
      </c>
    </row>
    <row r="31" spans="1:9" ht="15" thickBot="1" x14ac:dyDescent="0.4">
      <c r="A31" s="3" t="s">
        <v>116</v>
      </c>
      <c r="B31" s="2" t="s">
        <v>117</v>
      </c>
      <c r="C31" s="29">
        <v>2.1768800000000001</v>
      </c>
      <c r="D31" s="29">
        <v>117.46588</v>
      </c>
      <c r="E31" s="3" t="s">
        <v>76</v>
      </c>
      <c r="F31" s="2" t="s">
        <v>11</v>
      </c>
      <c r="G31" s="27" t="s">
        <v>91</v>
      </c>
      <c r="H31" s="3">
        <v>7</v>
      </c>
      <c r="I31" s="7">
        <v>0.318</v>
      </c>
    </row>
    <row r="32" spans="1:9" x14ac:dyDescent="0.35">
      <c r="A32" s="3" t="s">
        <v>118</v>
      </c>
      <c r="B32" s="2" t="s">
        <v>119</v>
      </c>
      <c r="C32" s="30"/>
      <c r="D32" s="30"/>
      <c r="E32" s="3" t="s">
        <v>76</v>
      </c>
      <c r="F32" s="2" t="s">
        <v>13</v>
      </c>
      <c r="G32" s="27" t="s">
        <v>91</v>
      </c>
      <c r="H32" s="3">
        <v>4.5</v>
      </c>
      <c r="I32" s="7" t="s">
        <v>5</v>
      </c>
    </row>
    <row r="33" spans="1:9" x14ac:dyDescent="0.35">
      <c r="A33" s="31" t="s">
        <v>120</v>
      </c>
      <c r="B33" s="32" t="s">
        <v>121</v>
      </c>
      <c r="C33" s="33">
        <v>2.1783800000000002</v>
      </c>
      <c r="D33" s="33">
        <v>117.45618</v>
      </c>
      <c r="E33" s="34" t="s">
        <v>76</v>
      </c>
      <c r="F33" s="11" t="s">
        <v>11</v>
      </c>
      <c r="G33" s="27" t="s">
        <v>91</v>
      </c>
      <c r="H33" s="3">
        <v>6.1</v>
      </c>
      <c r="I33" s="7">
        <v>7.8E-2</v>
      </c>
    </row>
    <row r="34" spans="1:9" x14ac:dyDescent="0.35">
      <c r="A34" s="3" t="s">
        <v>122</v>
      </c>
      <c r="B34" s="2" t="s">
        <v>123</v>
      </c>
      <c r="C34" s="35" t="s">
        <v>124</v>
      </c>
      <c r="D34" s="35" t="s">
        <v>125</v>
      </c>
      <c r="E34" s="3" t="s">
        <v>104</v>
      </c>
      <c r="F34" s="2" t="s">
        <v>9</v>
      </c>
      <c r="G34" s="27" t="s">
        <v>91</v>
      </c>
      <c r="H34" s="3">
        <v>4.5</v>
      </c>
      <c r="I34" s="7">
        <v>1.3660000000000001</v>
      </c>
    </row>
    <row r="35" spans="1:9" ht="15" thickBot="1" x14ac:dyDescent="0.4">
      <c r="A35" s="3" t="s">
        <v>126</v>
      </c>
      <c r="B35" s="2" t="s">
        <v>127</v>
      </c>
      <c r="C35" s="4" t="s">
        <v>125</v>
      </c>
      <c r="D35" s="4" t="s">
        <v>125</v>
      </c>
      <c r="E35" s="3"/>
      <c r="F35" s="10" t="s">
        <v>125</v>
      </c>
      <c r="G35" s="27" t="s">
        <v>91</v>
      </c>
      <c r="H35" s="3">
        <v>4.5</v>
      </c>
      <c r="I35" s="7">
        <v>0.13</v>
      </c>
    </row>
    <row r="36" spans="1:9" ht="15" thickBot="1" x14ac:dyDescent="0.4">
      <c r="A36" s="3" t="s">
        <v>128</v>
      </c>
      <c r="B36" s="2" t="s">
        <v>129</v>
      </c>
      <c r="C36" s="36">
        <v>2.1442100000000002</v>
      </c>
      <c r="D36" s="36">
        <v>117.43368</v>
      </c>
      <c r="E36" s="3" t="s">
        <v>76</v>
      </c>
      <c r="F36" s="2" t="s">
        <v>14</v>
      </c>
      <c r="G36" s="27" t="s">
        <v>91</v>
      </c>
      <c r="H36" s="3">
        <v>4.5</v>
      </c>
      <c r="I36" s="7">
        <v>0.40400000000000003</v>
      </c>
    </row>
    <row r="37" spans="1:9" x14ac:dyDescent="0.35">
      <c r="A37" s="3" t="s">
        <v>130</v>
      </c>
      <c r="B37" s="2" t="s">
        <v>131</v>
      </c>
      <c r="C37" s="4" t="s">
        <v>91</v>
      </c>
      <c r="D37" s="4" t="s">
        <v>91</v>
      </c>
      <c r="E37" s="3" t="s">
        <v>132</v>
      </c>
      <c r="F37" s="10" t="str">
        <f>F35</f>
        <v>cek lagi atiq</v>
      </c>
      <c r="G37" s="27" t="s">
        <v>91</v>
      </c>
      <c r="H37" s="3">
        <v>6.7</v>
      </c>
      <c r="I37" t="s">
        <v>6</v>
      </c>
    </row>
    <row r="38" spans="1:9" x14ac:dyDescent="0.35">
      <c r="A38" s="3" t="s">
        <v>133</v>
      </c>
      <c r="B38" s="2" t="s">
        <v>134</v>
      </c>
      <c r="C38" s="4" t="s">
        <v>91</v>
      </c>
      <c r="D38" s="4" t="s">
        <v>91</v>
      </c>
      <c r="E38" s="4" t="s">
        <v>132</v>
      </c>
      <c r="F38" s="4" t="s">
        <v>91</v>
      </c>
      <c r="G38" s="4" t="s">
        <v>91</v>
      </c>
      <c r="H38" s="3">
        <v>4.5</v>
      </c>
      <c r="I38" s="8" t="s">
        <v>7</v>
      </c>
    </row>
    <row r="39" spans="1:9" x14ac:dyDescent="0.35">
      <c r="A39" s="3" t="s">
        <v>135</v>
      </c>
      <c r="B39" s="2" t="s">
        <v>136</v>
      </c>
      <c r="C39" s="4" t="s">
        <v>91</v>
      </c>
      <c r="D39" s="4" t="s">
        <v>91</v>
      </c>
      <c r="E39" s="4" t="s">
        <v>132</v>
      </c>
      <c r="F39" s="4" t="s">
        <v>91</v>
      </c>
      <c r="G39" s="4" t="s">
        <v>91</v>
      </c>
      <c r="H39" s="3">
        <v>6.1</v>
      </c>
      <c r="I39">
        <v>9.4E-2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C3AA-D08B-4741-A1B6-7D70C38F8BF7}">
  <dimension ref="A1:D39"/>
  <sheetViews>
    <sheetView topLeftCell="A22" workbookViewId="0">
      <selection activeCell="F33" sqref="F33"/>
    </sheetView>
  </sheetViews>
  <sheetFormatPr defaultRowHeight="14.5" x14ac:dyDescent="0.35"/>
  <sheetData>
    <row r="1" spans="1:4" x14ac:dyDescent="0.35">
      <c r="A1" s="1" t="s">
        <v>54</v>
      </c>
      <c r="B1" s="1" t="s">
        <v>55</v>
      </c>
      <c r="C1" s="9" t="s">
        <v>8</v>
      </c>
      <c r="D1" s="1" t="s">
        <v>2</v>
      </c>
    </row>
    <row r="2" spans="1:4" x14ac:dyDescent="0.35">
      <c r="A2" s="2" t="s">
        <v>58</v>
      </c>
      <c r="B2" s="2" t="s">
        <v>59</v>
      </c>
      <c r="C2" s="2" t="s">
        <v>9</v>
      </c>
      <c r="D2" s="5">
        <v>5.5</v>
      </c>
    </row>
    <row r="3" spans="1:4" x14ac:dyDescent="0.35">
      <c r="A3" s="2" t="s">
        <v>61</v>
      </c>
      <c r="B3" s="2" t="s">
        <v>58</v>
      </c>
      <c r="C3" s="2" t="s">
        <v>10</v>
      </c>
      <c r="D3" s="5">
        <v>6.6</v>
      </c>
    </row>
    <row r="4" spans="1:4" x14ac:dyDescent="0.35">
      <c r="A4" s="3" t="s">
        <v>62</v>
      </c>
      <c r="B4" s="2" t="s">
        <v>63</v>
      </c>
      <c r="C4" s="2" t="s">
        <v>9</v>
      </c>
      <c r="D4" s="3">
        <v>5.2</v>
      </c>
    </row>
    <row r="5" spans="1:4" x14ac:dyDescent="0.35">
      <c r="A5" s="4" t="s">
        <v>65</v>
      </c>
      <c r="B5" s="10" t="s">
        <v>66</v>
      </c>
      <c r="C5" s="10" t="s">
        <v>9</v>
      </c>
      <c r="D5" s="4">
        <v>4.5</v>
      </c>
    </row>
    <row r="6" spans="1:4" x14ac:dyDescent="0.35">
      <c r="A6" s="3" t="s">
        <v>67</v>
      </c>
      <c r="B6" s="2" t="s">
        <v>68</v>
      </c>
      <c r="C6" s="2" t="s">
        <v>9</v>
      </c>
      <c r="D6" s="3">
        <v>4.5</v>
      </c>
    </row>
    <row r="7" spans="1:4" x14ac:dyDescent="0.35">
      <c r="A7" s="3" t="s">
        <v>70</v>
      </c>
      <c r="B7" s="2" t="s">
        <v>71</v>
      </c>
      <c r="C7" s="2" t="s">
        <v>9</v>
      </c>
      <c r="D7" s="3">
        <v>4.5</v>
      </c>
    </row>
    <row r="8" spans="1:4" x14ac:dyDescent="0.35">
      <c r="A8" s="3" t="s">
        <v>72</v>
      </c>
      <c r="B8" s="2" t="s">
        <v>73</v>
      </c>
      <c r="C8" s="2" t="s">
        <v>9</v>
      </c>
      <c r="D8" s="3">
        <v>4.5</v>
      </c>
    </row>
    <row r="9" spans="1:4" x14ac:dyDescent="0.35">
      <c r="A9" s="2" t="s">
        <v>74</v>
      </c>
      <c r="B9" s="2" t="s">
        <v>75</v>
      </c>
      <c r="C9" s="2" t="s">
        <v>9</v>
      </c>
      <c r="D9" s="2">
        <v>4.5</v>
      </c>
    </row>
    <row r="10" spans="1:4" x14ac:dyDescent="0.35">
      <c r="A10" s="2" t="s">
        <v>77</v>
      </c>
      <c r="B10" s="2" t="s">
        <v>78</v>
      </c>
      <c r="C10" s="2" t="s">
        <v>9</v>
      </c>
      <c r="D10" s="2">
        <v>6.5</v>
      </c>
    </row>
    <row r="11" spans="1:4" x14ac:dyDescent="0.35">
      <c r="A11" s="2" t="s">
        <v>79</v>
      </c>
      <c r="B11" s="2" t="s">
        <v>80</v>
      </c>
      <c r="C11" s="2" t="s">
        <v>9</v>
      </c>
      <c r="D11" s="5">
        <v>4.5</v>
      </c>
    </row>
    <row r="12" spans="1:4" x14ac:dyDescent="0.35">
      <c r="A12" s="2" t="s">
        <v>81</v>
      </c>
      <c r="B12" s="2" t="s">
        <v>82</v>
      </c>
      <c r="C12" s="2" t="s">
        <v>9</v>
      </c>
      <c r="D12" s="5">
        <v>4.5999999999999996</v>
      </c>
    </row>
    <row r="13" spans="1:4" x14ac:dyDescent="0.35">
      <c r="A13" s="2" t="s">
        <v>83</v>
      </c>
      <c r="B13" s="2" t="s">
        <v>84</v>
      </c>
      <c r="C13" s="2" t="s">
        <v>9</v>
      </c>
      <c r="D13" s="2">
        <v>7</v>
      </c>
    </row>
    <row r="14" spans="1:4" x14ac:dyDescent="0.35">
      <c r="A14" s="2" t="s">
        <v>85</v>
      </c>
      <c r="B14" s="2" t="s">
        <v>86</v>
      </c>
      <c r="C14" s="2" t="s">
        <v>9</v>
      </c>
      <c r="D14" s="2">
        <v>5.2</v>
      </c>
    </row>
    <row r="15" spans="1:4" x14ac:dyDescent="0.35">
      <c r="A15" s="2" t="s">
        <v>87</v>
      </c>
      <c r="B15" s="2" t="s">
        <v>88</v>
      </c>
      <c r="C15" s="2" t="s">
        <v>9</v>
      </c>
      <c r="D15" s="5">
        <v>6.5</v>
      </c>
    </row>
    <row r="16" spans="1:4" x14ac:dyDescent="0.35">
      <c r="A16" s="2" t="s">
        <v>89</v>
      </c>
      <c r="B16" s="2" t="s">
        <v>90</v>
      </c>
      <c r="C16" s="10" t="s">
        <v>91</v>
      </c>
      <c r="D16" s="3">
        <v>6.9</v>
      </c>
    </row>
    <row r="17" spans="1:4" x14ac:dyDescent="0.35">
      <c r="A17" s="2" t="s">
        <v>92</v>
      </c>
      <c r="B17" s="2" t="s">
        <v>93</v>
      </c>
      <c r="C17" s="2" t="s">
        <v>9</v>
      </c>
      <c r="D17" s="2">
        <v>4.5</v>
      </c>
    </row>
    <row r="18" spans="1:4" ht="15" thickBot="1" x14ac:dyDescent="0.4">
      <c r="A18" s="2" t="s">
        <v>94</v>
      </c>
      <c r="B18" s="2" t="s">
        <v>95</v>
      </c>
      <c r="C18" s="2" t="s">
        <v>10</v>
      </c>
      <c r="D18" s="5">
        <v>5.2</v>
      </c>
    </row>
    <row r="19" spans="1:4" ht="15" thickBot="1" x14ac:dyDescent="0.4">
      <c r="A19" s="3" t="s">
        <v>96</v>
      </c>
      <c r="B19" s="2" t="s">
        <v>81</v>
      </c>
      <c r="C19" s="2" t="s">
        <v>10</v>
      </c>
      <c r="D19" s="29">
        <v>6.9</v>
      </c>
    </row>
    <row r="20" spans="1:4" ht="15" thickBot="1" x14ac:dyDescent="0.4">
      <c r="A20" s="3" t="s">
        <v>97</v>
      </c>
      <c r="B20" s="2" t="s">
        <v>79</v>
      </c>
      <c r="C20" s="2" t="s">
        <v>10</v>
      </c>
      <c r="D20" s="29">
        <v>6.9</v>
      </c>
    </row>
    <row r="21" spans="1:4" ht="15" thickBot="1" x14ac:dyDescent="0.4">
      <c r="A21" s="3" t="s">
        <v>98</v>
      </c>
      <c r="B21" s="2" t="s">
        <v>74</v>
      </c>
      <c r="C21" s="2" t="s">
        <v>10</v>
      </c>
      <c r="D21" s="29">
        <v>6.9</v>
      </c>
    </row>
    <row r="22" spans="1:4" ht="15" thickBot="1" x14ac:dyDescent="0.4">
      <c r="A22" s="3" t="s">
        <v>99</v>
      </c>
      <c r="B22" s="2" t="s">
        <v>100</v>
      </c>
      <c r="C22" s="2" t="s">
        <v>9</v>
      </c>
      <c r="D22" s="29">
        <v>4.5</v>
      </c>
    </row>
    <row r="23" spans="1:4" x14ac:dyDescent="0.35">
      <c r="A23" s="3" t="s">
        <v>101</v>
      </c>
      <c r="B23" s="2" t="s">
        <v>102</v>
      </c>
      <c r="C23" s="2" t="s">
        <v>9</v>
      </c>
      <c r="D23" s="3">
        <v>5.0999999999999996</v>
      </c>
    </row>
    <row r="24" spans="1:4" x14ac:dyDescent="0.35">
      <c r="A24" s="3" t="s">
        <v>103</v>
      </c>
      <c r="B24" s="2" t="s">
        <v>92</v>
      </c>
      <c r="C24" s="2" t="s">
        <v>9</v>
      </c>
      <c r="D24" s="3">
        <v>5.6</v>
      </c>
    </row>
    <row r="25" spans="1:4" x14ac:dyDescent="0.35">
      <c r="A25" s="3" t="s">
        <v>105</v>
      </c>
      <c r="B25" s="2" t="s">
        <v>83</v>
      </c>
      <c r="C25" s="2" t="s">
        <v>9</v>
      </c>
      <c r="D25" s="3">
        <v>4.5</v>
      </c>
    </row>
    <row r="26" spans="1:4" x14ac:dyDescent="0.35">
      <c r="A26" s="3" t="s">
        <v>106</v>
      </c>
      <c r="B26" s="2" t="s">
        <v>85</v>
      </c>
      <c r="C26" s="2" t="s">
        <v>9</v>
      </c>
      <c r="D26" s="3">
        <v>6.3</v>
      </c>
    </row>
    <row r="27" spans="1:4" x14ac:dyDescent="0.35">
      <c r="A27" s="3" t="s">
        <v>107</v>
      </c>
      <c r="B27" s="2" t="s">
        <v>108</v>
      </c>
      <c r="C27" s="10" t="s">
        <v>10</v>
      </c>
      <c r="D27" s="3">
        <v>6.8</v>
      </c>
    </row>
    <row r="28" spans="1:4" x14ac:dyDescent="0.35">
      <c r="A28" s="3" t="s">
        <v>109</v>
      </c>
      <c r="B28" s="2" t="s">
        <v>110</v>
      </c>
      <c r="C28" s="2" t="s">
        <v>11</v>
      </c>
      <c r="D28" s="3">
        <v>6.7</v>
      </c>
    </row>
    <row r="29" spans="1:4" x14ac:dyDescent="0.35">
      <c r="A29" s="3" t="s">
        <v>112</v>
      </c>
      <c r="B29" s="2" t="s">
        <v>113</v>
      </c>
      <c r="C29" s="2" t="s">
        <v>12</v>
      </c>
      <c r="D29" s="3">
        <v>4.5</v>
      </c>
    </row>
    <row r="30" spans="1:4" x14ac:dyDescent="0.35">
      <c r="A30" s="3" t="s">
        <v>114</v>
      </c>
      <c r="B30" s="2" t="s">
        <v>115</v>
      </c>
      <c r="C30" s="2" t="s">
        <v>12</v>
      </c>
      <c r="D30" s="3">
        <v>4.9000000000000004</v>
      </c>
    </row>
    <row r="31" spans="1:4" x14ac:dyDescent="0.35">
      <c r="A31" s="3" t="s">
        <v>116</v>
      </c>
      <c r="B31" s="2" t="s">
        <v>117</v>
      </c>
      <c r="C31" s="2" t="s">
        <v>11</v>
      </c>
      <c r="D31" s="3">
        <v>7</v>
      </c>
    </row>
    <row r="32" spans="1:4" x14ac:dyDescent="0.35">
      <c r="A32" s="3" t="s">
        <v>118</v>
      </c>
      <c r="B32" s="2" t="s">
        <v>119</v>
      </c>
      <c r="C32" s="2" t="s">
        <v>13</v>
      </c>
      <c r="D32" s="3">
        <v>4.5</v>
      </c>
    </row>
    <row r="33" spans="1:4" x14ac:dyDescent="0.35">
      <c r="A33" s="31" t="s">
        <v>120</v>
      </c>
      <c r="B33" s="32" t="s">
        <v>121</v>
      </c>
      <c r="C33" s="11" t="s">
        <v>11</v>
      </c>
      <c r="D33" s="3">
        <v>6.1</v>
      </c>
    </row>
    <row r="34" spans="1:4" x14ac:dyDescent="0.35">
      <c r="A34" s="3" t="s">
        <v>122</v>
      </c>
      <c r="B34" s="2" t="s">
        <v>123</v>
      </c>
      <c r="C34" s="2" t="s">
        <v>9</v>
      </c>
      <c r="D34" s="3">
        <v>4.5</v>
      </c>
    </row>
    <row r="35" spans="1:4" x14ac:dyDescent="0.35">
      <c r="A35" s="3" t="s">
        <v>126</v>
      </c>
      <c r="B35" s="2" t="s">
        <v>127</v>
      </c>
      <c r="C35" s="10" t="s">
        <v>125</v>
      </c>
      <c r="D35" s="3">
        <v>4.5</v>
      </c>
    </row>
    <row r="36" spans="1:4" x14ac:dyDescent="0.35">
      <c r="A36" s="3" t="s">
        <v>128</v>
      </c>
      <c r="B36" s="2" t="s">
        <v>129</v>
      </c>
      <c r="C36" s="2" t="s">
        <v>14</v>
      </c>
      <c r="D36" s="3">
        <v>4.5</v>
      </c>
    </row>
    <row r="37" spans="1:4" x14ac:dyDescent="0.35">
      <c r="A37" s="3" t="s">
        <v>130</v>
      </c>
      <c r="B37" s="2" t="s">
        <v>131</v>
      </c>
      <c r="C37" s="10" t="s">
        <v>125</v>
      </c>
      <c r="D37" s="3">
        <v>6.7</v>
      </c>
    </row>
    <row r="38" spans="1:4" x14ac:dyDescent="0.35">
      <c r="A38" s="3" t="s">
        <v>133</v>
      </c>
      <c r="B38" s="2" t="s">
        <v>134</v>
      </c>
      <c r="C38" s="4" t="s">
        <v>91</v>
      </c>
      <c r="D38" s="3">
        <v>4.5</v>
      </c>
    </row>
    <row r="39" spans="1:4" x14ac:dyDescent="0.35">
      <c r="A39" s="3" t="s">
        <v>135</v>
      </c>
      <c r="B39" s="2" t="s">
        <v>136</v>
      </c>
      <c r="C39" s="4" t="s">
        <v>91</v>
      </c>
      <c r="D39" s="3">
        <v>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EF66-A77C-4C96-882D-52DF8196F1DE}">
  <dimension ref="A1:C24"/>
  <sheetViews>
    <sheetView topLeftCell="A16" workbookViewId="0">
      <selection activeCell="F20" sqref="F20"/>
    </sheetView>
  </sheetViews>
  <sheetFormatPr defaultRowHeight="14.5" x14ac:dyDescent="0.35"/>
  <sheetData>
    <row r="1" spans="1:3" x14ac:dyDescent="0.35">
      <c r="A1" t="s">
        <v>30</v>
      </c>
      <c r="B1" t="s">
        <v>31</v>
      </c>
      <c r="C1" t="s">
        <v>32</v>
      </c>
    </row>
    <row r="2" spans="1:3" x14ac:dyDescent="0.35">
      <c r="A2">
        <v>1</v>
      </c>
      <c r="B2" s="7">
        <v>0.21099999999999999</v>
      </c>
      <c r="C2">
        <v>0.12</v>
      </c>
    </row>
    <row r="3" spans="1:3" x14ac:dyDescent="0.35">
      <c r="A3">
        <v>2</v>
      </c>
      <c r="B3" s="7">
        <v>0.104</v>
      </c>
      <c r="C3">
        <v>0.14799999999999999</v>
      </c>
    </row>
    <row r="4" spans="1:3" x14ac:dyDescent="0.35">
      <c r="A4">
        <v>3</v>
      </c>
      <c r="B4" s="7">
        <v>0.13</v>
      </c>
      <c r="C4" s="6">
        <v>6.0000000000000001E-3</v>
      </c>
    </row>
    <row r="5" spans="1:3" x14ac:dyDescent="0.35">
      <c r="A5">
        <v>4</v>
      </c>
      <c r="C5">
        <v>1.7999999999999999E-2</v>
      </c>
    </row>
    <row r="6" spans="1:3" x14ac:dyDescent="0.35">
      <c r="A6">
        <v>5</v>
      </c>
      <c r="B6">
        <v>9.4E-2</v>
      </c>
      <c r="C6" s="7">
        <v>0.57199999999999995</v>
      </c>
    </row>
    <row r="7" spans="1:3" x14ac:dyDescent="0.35">
      <c r="A7">
        <v>6</v>
      </c>
      <c r="B7">
        <v>0.09</v>
      </c>
      <c r="C7" s="7">
        <v>0.11</v>
      </c>
    </row>
    <row r="8" spans="1:3" x14ac:dyDescent="0.35">
      <c r="A8">
        <v>7</v>
      </c>
      <c r="B8">
        <v>1.014</v>
      </c>
      <c r="C8" s="7"/>
    </row>
    <row r="9" spans="1:3" x14ac:dyDescent="0.35">
      <c r="A9">
        <v>8</v>
      </c>
      <c r="B9" s="8">
        <v>1.714</v>
      </c>
      <c r="C9" s="7"/>
    </row>
    <row r="10" spans="1:3" x14ac:dyDescent="0.35">
      <c r="A10">
        <v>9</v>
      </c>
      <c r="B10" s="6">
        <v>1.5980000000000001</v>
      </c>
      <c r="C10" s="7">
        <v>0.06</v>
      </c>
    </row>
    <row r="11" spans="1:3" x14ac:dyDescent="0.35">
      <c r="A11">
        <v>10</v>
      </c>
      <c r="B11">
        <v>0.83199999999999996</v>
      </c>
      <c r="C11" s="15">
        <v>9.1999999999999998E-2</v>
      </c>
    </row>
    <row r="12" spans="1:3" x14ac:dyDescent="0.35">
      <c r="A12">
        <v>11</v>
      </c>
      <c r="B12" s="6">
        <v>1.28</v>
      </c>
      <c r="C12" s="7">
        <v>0.19600000000000001</v>
      </c>
    </row>
    <row r="13" spans="1:3" x14ac:dyDescent="0.35">
      <c r="A13">
        <v>12</v>
      </c>
      <c r="B13" s="6">
        <v>3.32</v>
      </c>
      <c r="C13" s="7">
        <v>0.318</v>
      </c>
    </row>
    <row r="14" spans="1:3" x14ac:dyDescent="0.35">
      <c r="A14">
        <v>13</v>
      </c>
      <c r="B14" s="7">
        <v>9.1999999999999998E-2</v>
      </c>
      <c r="C14" s="7">
        <v>7.8E-2</v>
      </c>
    </row>
    <row r="15" spans="1:3" x14ac:dyDescent="0.35">
      <c r="A15">
        <v>14</v>
      </c>
      <c r="B15" s="7">
        <v>0.51400000000000001</v>
      </c>
      <c r="C15" s="7">
        <v>0.40400000000000003</v>
      </c>
    </row>
    <row r="16" spans="1:3" x14ac:dyDescent="0.35">
      <c r="A16">
        <v>15</v>
      </c>
      <c r="B16" s="7">
        <v>5.81</v>
      </c>
    </row>
    <row r="17" spans="1:2" x14ac:dyDescent="0.35">
      <c r="A17">
        <v>16</v>
      </c>
      <c r="B17" s="7">
        <v>0.14199999999999999</v>
      </c>
    </row>
    <row r="18" spans="1:2" x14ac:dyDescent="0.35">
      <c r="A18">
        <v>17</v>
      </c>
      <c r="B18" s="7"/>
    </row>
    <row r="19" spans="1:2" x14ac:dyDescent="0.35">
      <c r="A19">
        <v>18</v>
      </c>
      <c r="B19" s="7"/>
    </row>
    <row r="20" spans="1:2" x14ac:dyDescent="0.35">
      <c r="A20">
        <v>19</v>
      </c>
      <c r="B20" s="7">
        <v>0.26600000000000001</v>
      </c>
    </row>
    <row r="21" spans="1:2" x14ac:dyDescent="0.35">
      <c r="A21">
        <v>20</v>
      </c>
      <c r="B21" s="7">
        <v>0.11600000000000001</v>
      </c>
    </row>
    <row r="22" spans="1:2" x14ac:dyDescent="0.35">
      <c r="A22">
        <v>21</v>
      </c>
      <c r="B22" s="7"/>
    </row>
    <row r="23" spans="1:2" x14ac:dyDescent="0.35">
      <c r="A23">
        <v>22</v>
      </c>
      <c r="B23">
        <v>4.2000000000000003E-2</v>
      </c>
    </row>
    <row r="24" spans="1:2" x14ac:dyDescent="0.35">
      <c r="A24">
        <v>23</v>
      </c>
      <c r="B24" s="6">
        <v>1.3660000000000001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0B99-6455-4B6E-829A-2D4280748A4E}">
  <dimension ref="A1:C25"/>
  <sheetViews>
    <sheetView workbookViewId="0">
      <selection activeCell="F11" sqref="F11"/>
    </sheetView>
  </sheetViews>
  <sheetFormatPr defaultRowHeight="14.5" x14ac:dyDescent="0.35"/>
  <sheetData>
    <row r="1" spans="1:3" x14ac:dyDescent="0.35">
      <c r="A1" s="3" t="s">
        <v>30</v>
      </c>
      <c r="B1" s="3" t="s">
        <v>31</v>
      </c>
      <c r="C1" s="3" t="s">
        <v>32</v>
      </c>
    </row>
    <row r="2" spans="1:3" x14ac:dyDescent="0.35">
      <c r="A2" s="3">
        <v>1</v>
      </c>
      <c r="B2" s="3">
        <v>4.5</v>
      </c>
      <c r="C2" s="5">
        <v>6.6</v>
      </c>
    </row>
    <row r="3" spans="1:3" x14ac:dyDescent="0.35">
      <c r="A3" s="3">
        <v>2</v>
      </c>
      <c r="B3" s="3">
        <v>4.9000000000000004</v>
      </c>
      <c r="C3" s="2">
        <v>6.5</v>
      </c>
    </row>
    <row r="4" spans="1:3" x14ac:dyDescent="0.35">
      <c r="A4" s="3">
        <v>3</v>
      </c>
      <c r="B4" s="3">
        <v>4.5</v>
      </c>
      <c r="C4" s="2">
        <v>7</v>
      </c>
    </row>
    <row r="5" spans="1:3" x14ac:dyDescent="0.35">
      <c r="A5" s="3">
        <v>4</v>
      </c>
      <c r="B5" s="3">
        <v>6.7</v>
      </c>
      <c r="C5" s="3">
        <v>6.9</v>
      </c>
    </row>
    <row r="6" spans="1:3" x14ac:dyDescent="0.35">
      <c r="A6" s="3">
        <v>5</v>
      </c>
      <c r="B6" s="3">
        <v>6.1</v>
      </c>
      <c r="C6" s="2">
        <v>4.5</v>
      </c>
    </row>
    <row r="7" spans="1:3" x14ac:dyDescent="0.35">
      <c r="A7" s="3">
        <v>6</v>
      </c>
      <c r="B7" s="5">
        <v>5.5</v>
      </c>
      <c r="C7" s="5">
        <v>5.2</v>
      </c>
    </row>
    <row r="8" spans="1:3" x14ac:dyDescent="0.35">
      <c r="A8" s="3">
        <v>7</v>
      </c>
      <c r="B8" s="3">
        <v>5.2</v>
      </c>
      <c r="C8" s="12">
        <v>6.9</v>
      </c>
    </row>
    <row r="9" spans="1:3" x14ac:dyDescent="0.35">
      <c r="A9" s="3">
        <v>8</v>
      </c>
      <c r="B9" s="4">
        <v>4.5</v>
      </c>
      <c r="C9" s="12">
        <v>6.9</v>
      </c>
    </row>
    <row r="10" spans="1:3" x14ac:dyDescent="0.35">
      <c r="A10" s="3">
        <v>9</v>
      </c>
      <c r="B10" s="3">
        <v>4.5</v>
      </c>
      <c r="C10" s="3">
        <v>6.8</v>
      </c>
    </row>
    <row r="11" spans="1:3" x14ac:dyDescent="0.35">
      <c r="A11" s="3">
        <v>10</v>
      </c>
      <c r="B11" s="3">
        <v>4.5</v>
      </c>
      <c r="C11" s="3">
        <v>4.5</v>
      </c>
    </row>
    <row r="12" spans="1:3" x14ac:dyDescent="0.35">
      <c r="A12" s="3">
        <v>11</v>
      </c>
      <c r="B12" s="3">
        <v>4.5</v>
      </c>
      <c r="C12" s="3">
        <v>6.7</v>
      </c>
    </row>
    <row r="13" spans="1:3" x14ac:dyDescent="0.35">
      <c r="A13" s="3">
        <v>12</v>
      </c>
      <c r="B13" s="2">
        <v>4.5</v>
      </c>
      <c r="C13" s="5">
        <v>7</v>
      </c>
    </row>
    <row r="14" spans="1:3" x14ac:dyDescent="0.35">
      <c r="A14" s="3">
        <v>13</v>
      </c>
      <c r="B14" s="5">
        <v>4.5</v>
      </c>
      <c r="C14" s="3">
        <v>6.1</v>
      </c>
    </row>
    <row r="15" spans="1:3" x14ac:dyDescent="0.35">
      <c r="A15" s="3">
        <v>14</v>
      </c>
      <c r="B15" s="5">
        <v>4.5999999999999996</v>
      </c>
      <c r="C15" s="3">
        <v>4.5</v>
      </c>
    </row>
    <row r="16" spans="1:3" x14ac:dyDescent="0.35">
      <c r="A16" s="3">
        <v>15</v>
      </c>
      <c r="B16" s="2">
        <v>5.2</v>
      </c>
      <c r="C16" s="3"/>
    </row>
    <row r="17" spans="1:3" x14ac:dyDescent="0.35">
      <c r="A17" s="3">
        <v>16</v>
      </c>
      <c r="B17" s="5">
        <v>6.5</v>
      </c>
      <c r="C17" s="3"/>
    </row>
    <row r="18" spans="1:3" x14ac:dyDescent="0.35">
      <c r="A18" s="3">
        <v>17</v>
      </c>
      <c r="B18" s="12">
        <v>6.9</v>
      </c>
      <c r="C18" s="3"/>
    </row>
    <row r="19" spans="1:3" x14ac:dyDescent="0.35">
      <c r="A19" s="3">
        <v>18</v>
      </c>
      <c r="B19" s="12">
        <v>4.5</v>
      </c>
      <c r="C19" s="3"/>
    </row>
    <row r="20" spans="1:3" x14ac:dyDescent="0.35">
      <c r="A20" s="3">
        <v>19</v>
      </c>
      <c r="B20" s="3">
        <v>5.0999999999999996</v>
      </c>
      <c r="C20" s="3"/>
    </row>
    <row r="21" spans="1:3" x14ac:dyDescent="0.35">
      <c r="A21" s="3">
        <v>20</v>
      </c>
      <c r="B21" s="3">
        <v>5.6</v>
      </c>
      <c r="C21" s="3"/>
    </row>
    <row r="22" spans="1:3" x14ac:dyDescent="0.35">
      <c r="A22" s="3">
        <v>21</v>
      </c>
      <c r="B22" s="3">
        <v>4.5</v>
      </c>
      <c r="C22" s="3"/>
    </row>
    <row r="23" spans="1:3" x14ac:dyDescent="0.35">
      <c r="A23" s="3">
        <v>22</v>
      </c>
      <c r="B23" s="3">
        <v>6.3</v>
      </c>
      <c r="C23" s="3"/>
    </row>
    <row r="24" spans="1:3" x14ac:dyDescent="0.35">
      <c r="A24" s="3">
        <v>23</v>
      </c>
      <c r="B24" s="3">
        <v>4.5</v>
      </c>
      <c r="C24" s="3"/>
    </row>
    <row r="25" spans="1:3" x14ac:dyDescent="0.35">
      <c r="A25" s="3">
        <v>24</v>
      </c>
      <c r="B25" s="3">
        <v>4.5</v>
      </c>
      <c r="C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Sheet3</vt:lpstr>
      <vt:lpstr>ML EC</vt:lpstr>
      <vt:lpstr>pH</vt:lpstr>
      <vt:lpstr>ML-pH</vt:lpstr>
      <vt:lpstr>Sheet7</vt:lpstr>
      <vt:lpstr>Sheet8</vt:lpstr>
      <vt:lpstr>EC</vt:lpstr>
      <vt:lpstr>pH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2026-09-11T01:27:50Z</dcterms:created>
  <dcterms:modified xsi:type="dcterms:W3CDTF">2026-09-26T02:05:37Z</dcterms:modified>
</cp:coreProperties>
</file>